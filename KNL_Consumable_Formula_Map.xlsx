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0448ce735263760/Desktop/FSD-Chapters/INTERNSHIP'/KNL/"/>
    </mc:Choice>
  </mc:AlternateContent>
  <xr:revisionPtr revIDLastSave="0" documentId="14_{153EAC60-F860-4889-A91A-C49F52F4702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Formula map" sheetId="2" r:id="rId1"/>
    <sheet name="By purpose" sheetId="3" r:id="rId2"/>
    <sheet name="ERP rule types" sheetId="4" r:id="rId3"/>
    <sheet name="Issues" sheetId="5" r:id="rId4"/>
  </sheets>
  <definedNames>
    <definedName name="_xlnm._FilterDatabase" localSheetId="0" hidden="1">'Formula map'!$A$1:$K$151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3" l="1"/>
  <c r="C13" i="3"/>
  <c r="C12" i="3"/>
  <c r="C11" i="3"/>
  <c r="C10" i="3"/>
  <c r="C9" i="3"/>
  <c r="C8" i="3"/>
  <c r="C7" i="3"/>
  <c r="C6" i="3"/>
  <c r="C5" i="3"/>
  <c r="C4" i="3"/>
  <c r="C15" i="3" s="1"/>
</calcChain>
</file>

<file path=xl/sharedStrings.xml><?xml version="1.0" encoding="utf-8"?>
<sst xmlns="http://schemas.openxmlformats.org/spreadsheetml/2006/main" count="1612" uniqueCount="935">
  <si>
    <t>#</t>
  </si>
  <si>
    <t>Sheet</t>
  </si>
  <si>
    <t>Cell / column</t>
  </si>
  <si>
    <t>Header or item</t>
  </si>
  <si>
    <t>Formula (as in workbook)</t>
  </si>
  <si>
    <t>What it does</t>
  </si>
  <si>
    <t>Purpose group</t>
  </si>
  <si>
    <t>ERP rule type</t>
  </si>
  <si>
    <t>Inputs used</t>
  </si>
  <si>
    <t>Note or issue</t>
  </si>
  <si>
    <t>Source</t>
  </si>
  <si>
    <t>Plan</t>
  </si>
  <si>
    <t>X1</t>
  </si>
  <si>
    <t>Working days in month</t>
  </si>
  <si>
    <t>26 (typed)</t>
  </si>
  <si>
    <t>Number of working days used to turn monthly quantities into daily quantities.</t>
  </si>
  <si>
    <t>Stock policy (MSL, max, re-order)</t>
  </si>
  <si>
    <t>Parameter</t>
  </si>
  <si>
    <t>Typed value</t>
  </si>
  <si>
    <t>Used by V, BK and BU.</t>
  </si>
  <si>
    <t>Pasted text</t>
  </si>
  <si>
    <t>U3</t>
  </si>
  <si>
    <t>No. of days for MSL</t>
  </si>
  <si>
    <t>10 (typed)</t>
  </si>
  <si>
    <t>Number of days of requirement kept as minimum stock.</t>
  </si>
  <si>
    <t>Some rows use 5, 15 or 20 days instead.</t>
  </si>
  <si>
    <t>F4</t>
  </si>
  <si>
    <t>S. No.</t>
  </si>
  <si>
    <t>=SUBTOTAL(103,$C$4:C4)</t>
  </si>
  <si>
    <t>Running serial number that ignores hidden or filtered rows.</t>
  </si>
  <si>
    <t>Housekeeping (serial no., constants, links)</t>
  </si>
  <si>
    <t>Not a rule</t>
  </si>
  <si>
    <t>Item Id column</t>
  </si>
  <si>
    <t>O4</t>
  </si>
  <si>
    <t>Opening Qty July'26</t>
  </si>
  <si>
    <t>=SUMIF('Stk. statement Opening stock'!A:A,Plan!C4,'Stk. statement Opening stock'!E:E)</t>
  </si>
  <si>
    <t>Reads the item's opening quantity from the ERP stock export.</t>
  </si>
  <si>
    <t>Source data lookup</t>
  </si>
  <si>
    <t>Data lookup</t>
  </si>
  <si>
    <t>Item Id; stock export column E</t>
  </si>
  <si>
    <t>P4</t>
  </si>
  <si>
    <t>Opening Value</t>
  </si>
  <si>
    <t>=O4*U4</t>
  </si>
  <si>
    <t>Opening quantity x rate.</t>
  </si>
  <si>
    <t>Order quantity and value</t>
  </si>
  <si>
    <t>O, U</t>
  </si>
  <si>
    <t>Q4</t>
  </si>
  <si>
    <t>Receipt Qty July'26</t>
  </si>
  <si>
    <t>=SUMIF('Stk. statement Opening stock'!A:A,Plan!C4,'Stk. statement Opening stock'!G:G)</t>
  </si>
  <si>
    <t>Reads July receipts from the stock export.</t>
  </si>
  <si>
    <t>Stock export column G</t>
  </si>
  <si>
    <t>R4</t>
  </si>
  <si>
    <t>Issue Qty July'26</t>
  </si>
  <si>
    <t>=SUMIF('Stk. statement Opening stock'!A:A,Plan!C4,'Stk. statement Opening stock'!I:I)</t>
  </si>
  <si>
    <t>Reads July issues from the stock export.</t>
  </si>
  <si>
    <t>Stock export column I</t>
  </si>
  <si>
    <t>S4</t>
  </si>
  <si>
    <t>Closing Qty July'26</t>
  </si>
  <si>
    <t>=SUMIF('Stk. statement Opening stock'!A:A,Plan!C4,'Stk. statement Opening stock'!K:K)</t>
  </si>
  <si>
    <t>Reads July closing stock from the stock export (CO2 row: 235).</t>
  </si>
  <si>
    <t>Stock export column K</t>
  </si>
  <si>
    <t>T4</t>
  </si>
  <si>
    <t>Closing Value</t>
  </si>
  <si>
    <t>=S4*U4</t>
  </si>
  <si>
    <t>Closing quantity x rate.</t>
  </si>
  <si>
    <t>S, U</t>
  </si>
  <si>
    <t>U4</t>
  </si>
  <si>
    <t>Rate</t>
  </si>
  <si>
    <t>9 (typed)</t>
  </si>
  <si>
    <t>Purchase rate per unit, typed in.</t>
  </si>
  <si>
    <t>V4</t>
  </si>
  <si>
    <t>Min stock level (MSL)</t>
  </si>
  <si>
    <t>MSL = requirement for 10 days: requirement divided by (26 / 10), rounded up. CO2 row: 981.</t>
  </si>
  <si>
    <t>MIN_MAX</t>
  </si>
  <si>
    <t>AC, X1, U3</t>
  </si>
  <si>
    <t>Other rows use 5, 15 or 20 days (V160 uses 5). 86 rows are not rounded; V414 and V804 are typed numbers.</t>
  </si>
  <si>
    <t>W4</t>
  </si>
  <si>
    <t>Max stock level</t>
  </si>
  <si>
    <t>Maximum stock = MSL + minimum order quantity.</t>
  </si>
  <si>
    <t>V, X</t>
  </si>
  <si>
    <t>A few rows use =X only.</t>
  </si>
  <si>
    <t>X4</t>
  </si>
  <si>
    <t>Minimum order qty</t>
  </si>
  <si>
    <t>675 (typed)</t>
  </si>
  <si>
    <t>MOQ for the item, typed in (CO2: 675 kgs).</t>
  </si>
  <si>
    <t>Y (child rows)</t>
  </si>
  <si>
    <t>Sch. Qty as per assy R1</t>
  </si>
  <si>
    <t>=SUMIF('Prd. Order'!B:B,Plan!H{r},'Prd. Order'!E:E)</t>
  </si>
  <si>
    <t>Scheduled quantity of the saleable part from the production order. Blank for the CO2 row.</t>
  </si>
  <si>
    <t>Requirement calculation</t>
  </si>
  <si>
    <t>PRODUCTION_RATE</t>
  </si>
  <si>
    <t>Part No (H); Prd. Order col E</t>
  </si>
  <si>
    <t>{r} = the row number.</t>
  </si>
  <si>
    <t>Workbook scan</t>
  </si>
  <si>
    <t>Y (powder rows)</t>
  </si>
  <si>
    <t>Sch. Qty (sq ft)</t>
  </si>
  <si>
    <t>=SUMIF('Powder coating area'!E:E,C{r},'Powder coating area'!M:M)</t>
  </si>
  <si>
    <t>Total sq ft to be coated for the powder item.</t>
  </si>
  <si>
    <t>AREA_COVERAGE</t>
  </si>
  <si>
    <t>Powder coating area col M</t>
  </si>
  <si>
    <t>AA (child rows)</t>
  </si>
  <si>
    <t>Sch. Qty. Cons. Itemwise R1</t>
  </si>
  <si>
    <t>=Y{r}*M{r}</t>
  </si>
  <si>
    <t>Scheduled quantity x usage per part (M).</t>
  </si>
  <si>
    <t>Y, M</t>
  </si>
  <si>
    <t>AA (powder rows)</t>
  </si>
  <si>
    <t>=IFERROR(ROUND(Y{r}/N{r},0),0)</t>
  </si>
  <si>
    <t>Total sq ft divided by coverage per kg (N).</t>
  </si>
  <si>
    <t>Y, N</t>
  </si>
  <si>
    <t>AA4</t>
  </si>
  <si>
    <t>=BG4</t>
  </si>
  <si>
    <t>For gas the requirement is the total requested by plants and departments.</t>
  </si>
  <si>
    <t>PLANT_REQUEST</t>
  </si>
  <si>
    <t>BG</t>
  </si>
  <si>
    <t>AB4</t>
  </si>
  <si>
    <t>Opening stock Aug'26</t>
  </si>
  <si>
    <t>=S4</t>
  </si>
  <si>
    <t>July closing stock becomes August opening stock.</t>
  </si>
  <si>
    <t>S</t>
  </si>
  <si>
    <t>AC (parent rows)</t>
  </si>
  <si>
    <t>Req. Qty</t>
  </si>
  <si>
    <t>=IFERROR(ROUNDUP(AA{r}/N{r},0),0)</t>
  </si>
  <si>
    <t>Converts consumption into purchasing units: divides by output per unit (for example 2,000 operations per tap).</t>
  </si>
  <si>
    <t>TOOL_LIFE</t>
  </si>
  <si>
    <t>AA, N</t>
  </si>
  <si>
    <t>AC4</t>
  </si>
  <si>
    <t>=AA4</t>
  </si>
  <si>
    <t>For rows without children the requirement equals the itemwise consumption (CO2: 2,550).</t>
  </si>
  <si>
    <t>Same as AA</t>
  </si>
  <si>
    <t>AA</t>
  </si>
  <si>
    <t>AD4</t>
  </si>
  <si>
    <t>Order Qty R1</t>
  </si>
  <si>
    <t>=IF(IF(V4+AC4-S4&lt;0,0,V4+AC4-S4)&gt;0,IF(IF(V4+AC4-S4&lt;0,0,V4+AC4-S4)&lt;X4,X4,IF(V4+AC4-S4&lt;0,0,V4+AC4-S4)),0)</t>
  </si>
  <si>
    <t>Order = MSL + requirement - closing stock. If positive it is raised to the MOQ; if zero or negative the order is 0. CO2 row: 3,296.</t>
  </si>
  <si>
    <t>V, AC, S, X</t>
  </si>
  <si>
    <t>Same as IF(gap&gt;0, MAX(gap, MOQ), 0). Ignores incoming orders and pack multiples.</t>
  </si>
  <si>
    <t>AE4</t>
  </si>
  <si>
    <t>Order Value R1</t>
  </si>
  <si>
    <t>=AD4*U4</t>
  </si>
  <si>
    <t>Order quantity x rate.</t>
  </si>
  <si>
    <t>AD, U</t>
  </si>
  <si>
    <t>AF4</t>
  </si>
  <si>
    <t>Receipt qty. R1</t>
  </si>
  <si>
    <t>=SUMIF(GRN!I:I,Plan!C4,GRN!O:O)</t>
  </si>
  <si>
    <t>Quantity received per the GRN export.</t>
  </si>
  <si>
    <t>GRN col I, O</t>
  </si>
  <si>
    <t>AG4</t>
  </si>
  <si>
    <t>Receipt value R1</t>
  </si>
  <si>
    <t>=AF4*U4</t>
  </si>
  <si>
    <t>Receipt quantity x rate.</t>
  </si>
  <si>
    <t>AF, U</t>
  </si>
  <si>
    <t>AH4</t>
  </si>
  <si>
    <t>Sch. Qty. as per assy R2</t>
  </si>
  <si>
    <t>R2 schedule for gas (same source as R1).</t>
  </si>
  <si>
    <t>For child rows AH uses the same Prd. Order column as Y, so R2 equals R1.</t>
  </si>
  <si>
    <t>AI4</t>
  </si>
  <si>
    <t>Sch. Qty. Cons. Itemwise R2</t>
  </si>
  <si>
    <t>=AH4</t>
  </si>
  <si>
    <t>R2 itemwise consumption.</t>
  </si>
  <si>
    <t>AH</t>
  </si>
  <si>
    <t>AJ4</t>
  </si>
  <si>
    <t>Req. R2</t>
  </si>
  <si>
    <t>=AI4</t>
  </si>
  <si>
    <t>R2 requirement.</t>
  </si>
  <si>
    <t>Same as AC</t>
  </si>
  <si>
    <t>AI</t>
  </si>
  <si>
    <t>AK4</t>
  </si>
  <si>
    <t>closing stock (R2)</t>
  </si>
  <si>
    <t>=SUMIF('Stk statement Revised plan'!A:A,Plan!C4,'Stk statement Revised plan'!G:G)</t>
  </si>
  <si>
    <t>Reads revised stock sheet column G.</t>
  </si>
  <si>
    <t>Revised stock col G</t>
  </si>
  <si>
    <t>Header says closing stock but column G is Receipt Qty. The revised stock sheet has no numbers.</t>
  </si>
  <si>
    <t>AL4</t>
  </si>
  <si>
    <t>Req. qty less issue qty</t>
  </si>
  <si>
    <t>=AJ4-AK4</t>
  </si>
  <si>
    <t>R2 requirement minus the quantity read in AK.</t>
  </si>
  <si>
    <t>AJ, AK</t>
  </si>
  <si>
    <t>AM4</t>
  </si>
  <si>
    <t>Issue Qty till</t>
  </si>
  <si>
    <t>=SUMIF('Stk statement Revised plan'!A:A,Plan!C4,'Stk statement Revised plan'!E:E)</t>
  </si>
  <si>
    <t>Reads revised stock sheet column E.</t>
  </si>
  <si>
    <t>Revised stock col E</t>
  </si>
  <si>
    <t>Header says Issue Qty but column E is Opening Qty.</t>
  </si>
  <si>
    <t>AN4</t>
  </si>
  <si>
    <t>Order Qty. R2</t>
  </si>
  <si>
    <t>=IF(IF(V4+AL4-AM4&lt;0,0,V4+AL4-AM4)&gt;0,IF(IF(V4+AL4-AM4&lt;0,0,V4+AL4-AM4)&lt;X4,X4,IF(V4+AL4-AM4&lt;0,0,V4+AL4-AM4)),0)</t>
  </si>
  <si>
    <t>Same order rule as AD, using the R2 figures.</t>
  </si>
  <si>
    <t>V, AL, AM, X</t>
  </si>
  <si>
    <t>AO4</t>
  </si>
  <si>
    <t>Order Value R2</t>
  </si>
  <si>
    <t>=AN4*U4</t>
  </si>
  <si>
    <t>Order quantity R2 x rate.</t>
  </si>
  <si>
    <t>AN, U</t>
  </si>
  <si>
    <t>AP4</t>
  </si>
  <si>
    <t>Receipt qty. R2</t>
  </si>
  <si>
    <t>=SUMIF('GRN -R2'!I:I,@Plan!C:C,'GRN -R2'!O:O)</t>
  </si>
  <si>
    <t>Quantity received per the R2 GRN export.</t>
  </si>
  <si>
    <t>GRN -R2</t>
  </si>
  <si>
    <t>GRN -R2 is a hidden empty sheet.</t>
  </si>
  <si>
    <t>AQ4</t>
  </si>
  <si>
    <t>Receipt value R2</t>
  </si>
  <si>
    <t>=AP4*U4</t>
  </si>
  <si>
    <t>Receipt quantity R2 x rate.</t>
  </si>
  <si>
    <t>AP, U</t>
  </si>
  <si>
    <t>AR4</t>
  </si>
  <si>
    <t>Total Receipt Qty.</t>
  </si>
  <si>
    <t>=AP4+AF4</t>
  </si>
  <si>
    <t>Total received = R2 + R1 receipts.</t>
  </si>
  <si>
    <t>AP, AF</t>
  </si>
  <si>
    <t>AS4</t>
  </si>
  <si>
    <t>Total receipt value</t>
  </si>
  <si>
    <t>=AQ4+AG4</t>
  </si>
  <si>
    <t>Total receipt value.</t>
  </si>
  <si>
    <t>AQ, AG</t>
  </si>
  <si>
    <t>AT4:AX4</t>
  </si>
  <si>
    <t>P1 to P5 (plants)</t>
  </si>
  <si>
    <t>=SUMIF('Plant 1'!C:C,Plan!C4,'Plant 1'!G:G)</t>
  </si>
  <si>
    <t>Quantity requested by each plant (same pattern for Plant II to V).</t>
  </si>
  <si>
    <t>Plant sheets col C, G</t>
  </si>
  <si>
    <t>AY4</t>
  </si>
  <si>
    <t>Tool room</t>
  </si>
  <si>
    <t>=SUMIF('TOOL ROOM'!C:C,@Plan!C:C,'TOOL ROOM'!F:F)</t>
  </si>
  <si>
    <t>Quantity requested by the tool room.</t>
  </si>
  <si>
    <t>TOOL ROOM col C, F</t>
  </si>
  <si>
    <t>AZ4</t>
  </si>
  <si>
    <t>Quality</t>
  </si>
  <si>
    <t>=SUMIF(QAD!C:C,@Plan!C:C,QAD!G:G)</t>
  </si>
  <si>
    <t>Quantity requested by quality.</t>
  </si>
  <si>
    <t>QAD col C, G</t>
  </si>
  <si>
    <t>BA4</t>
  </si>
  <si>
    <t>PMD</t>
  </si>
  <si>
    <t>=SUMIF(PMD!B:B,@Plan!C:C,PMD!F:F)</t>
  </si>
  <si>
    <t>Quantity requested by PMD.</t>
  </si>
  <si>
    <t>PMD col B, F</t>
  </si>
  <si>
    <t>BB4</t>
  </si>
  <si>
    <t>NPD</t>
  </si>
  <si>
    <t>=SUMIF(NPD!C:C,@Plan!C:C,NPD!G:G)</t>
  </si>
  <si>
    <t>Quantity requested by NPD.</t>
  </si>
  <si>
    <t>NPD col C, G</t>
  </si>
  <si>
    <t>BC4</t>
  </si>
  <si>
    <t>HRD</t>
  </si>
  <si>
    <t>=SUMIF(HRD!A:A,Plan!C4,HRD!E:E)</t>
  </si>
  <si>
    <t>Quantity requested by HRD.</t>
  </si>
  <si>
    <t>HRD col A, E</t>
  </si>
  <si>
    <t>BD4:BE4</t>
  </si>
  <si>
    <t>Accounts; Purchase, Stores and Admin</t>
  </si>
  <si>
    <t>(no formula)</t>
  </si>
  <si>
    <t>Entered manually.</t>
  </si>
  <si>
    <t>Manual entry</t>
  </si>
  <si>
    <t>BF4</t>
  </si>
  <si>
    <t>Sales</t>
  </si>
  <si>
    <t>=SUMIF(Sales!C:C,@Plan!C:C,Sales!F:F)</t>
  </si>
  <si>
    <t>Quantity requested by Sales.</t>
  </si>
  <si>
    <t>Sales col C, F</t>
  </si>
  <si>
    <t>BG4</t>
  </si>
  <si>
    <t>Req. given by users</t>
  </si>
  <si>
    <t>=SUM(AT4:BF4)</t>
  </si>
  <si>
    <t>Total requested by all plants and departments.</t>
  </si>
  <si>
    <t>AT to BF</t>
  </si>
  <si>
    <t>BH4</t>
  </si>
  <si>
    <t>Total Value</t>
  </si>
  <si>
    <t>=BG4*U4</t>
  </si>
  <si>
    <t>Requested quantity x rate.</t>
  </si>
  <si>
    <t>BG, U</t>
  </si>
  <si>
    <t>BJ4</t>
  </si>
  <si>
    <t>Avg. Monthly Consumption</t>
  </si>
  <si>
    <t>3500 (typed)</t>
  </si>
  <si>
    <t>Average monthly consumption typed in. Source is not stored.</t>
  </si>
  <si>
    <t>Consumption analysis</t>
  </si>
  <si>
    <t>457 rows are typed. Only 100 equal the Plan (2) average.</t>
  </si>
  <si>
    <t>BK4</t>
  </si>
  <si>
    <t>Avg. Daily Consumption</t>
  </si>
  <si>
    <t>=BJ4/$X$1</t>
  </si>
  <si>
    <t>Monthly consumption divided by working days (CO2: 134.6).</t>
  </si>
  <si>
    <t>BJ, X1</t>
  </si>
  <si>
    <t>BL4</t>
  </si>
  <si>
    <t>Minimum order Quantity</t>
  </si>
  <si>
    <t>MOQ typed again (same as X4).</t>
  </si>
  <si>
    <t>BM4</t>
  </si>
  <si>
    <t>Lead time to supply in days</t>
  </si>
  <si>
    <t>3 (typed)</t>
  </si>
  <si>
    <t>Supplier lead time, typed in.</t>
  </si>
  <si>
    <t>BN4</t>
  </si>
  <si>
    <t>Mini number of days to hold in production</t>
  </si>
  <si>
    <t>2 (typed)</t>
  </si>
  <si>
    <t>Days of stock to keep on the floor, typed in.</t>
  </si>
  <si>
    <t>BO4</t>
  </si>
  <si>
    <t>Min stock level (second version)</t>
  </si>
  <si>
    <t>=ROUNDUP((BK4*BM4)+(BK4+BN4),0)</t>
  </si>
  <si>
    <t>Second MSL: lead-time demand + (daily quantity + hold days). CO2 row: 541.</t>
  </si>
  <si>
    <t>BK, BM, BN</t>
  </si>
  <si>
    <t>Adds a daily quantity to a number of days, and the lead-time demand is added again in BR.</t>
  </si>
  <si>
    <t>BP4</t>
  </si>
  <si>
    <t>Max stock level (second version)</t>
  </si>
  <si>
    <t>=ROUNDUP((BR4+BL4)-(BK4*BM4),0)</t>
  </si>
  <si>
    <t>Max = re-order level + MOQ - lead-time demand.</t>
  </si>
  <si>
    <t>BR, BL, BK, BM</t>
  </si>
  <si>
    <t>BQ4</t>
  </si>
  <si>
    <t>Lead time qty</t>
  </si>
  <si>
    <t>=ROUND(BK4*BM4,0)</t>
  </si>
  <si>
    <t>Quantity used during the supplier lead time (CO2: 404).</t>
  </si>
  <si>
    <t>BK, BM</t>
  </si>
  <si>
    <t>BR4</t>
  </si>
  <si>
    <t>Re-Order Level</t>
  </si>
  <si>
    <t>=BO4+BQ4</t>
  </si>
  <si>
    <t>Re-order level = BO + lead-time quantity. CO2 row: 945.</t>
  </si>
  <si>
    <t>BO, BQ</t>
  </si>
  <si>
    <t>BS4</t>
  </si>
  <si>
    <t>Cost of MSL</t>
  </si>
  <si>
    <t>=U4*V4</t>
  </si>
  <si>
    <t>Rate x MSL (uses V, the first MSL).</t>
  </si>
  <si>
    <t>U, V</t>
  </si>
  <si>
    <t>BT4</t>
  </si>
  <si>
    <t>Reorder level (MSL + daily x lead time)</t>
  </si>
  <si>
    <t>=ROUNDUP((V4+(BU4*BM4)),0)</t>
  </si>
  <si>
    <t>Third version of re-order level: V + daily requirement x lead time. CO2 row: 1,278.</t>
  </si>
  <si>
    <t>V, BU, BM</t>
  </si>
  <si>
    <t>BU4</t>
  </si>
  <si>
    <t>Avg. consumption per day</t>
  </si>
  <si>
    <t>=IFERROR(ROUNDUP(AC4/$X$1,0),0)</t>
  </si>
  <si>
    <t>Requirement divided by working days, rounded up (CO2: 99).</t>
  </si>
  <si>
    <t>AC, X1</t>
  </si>
  <si>
    <t>BV4:BW4</t>
  </si>
  <si>
    <t>Previous month plan and actual value</t>
  </si>
  <si>
    <t>6750 and 37050 (typed)</t>
  </si>
  <si>
    <t>Pasted numbers from last month.</t>
  </si>
  <si>
    <t>Plan (2)</t>
  </si>
  <si>
    <t>Lost [Last] 3 month purchase qty</t>
  </si>
  <si>
    <t>=SUMIF(Sheet7!I:I,@'Plan (2)'!C:C,Sheet7!O:O)</t>
  </si>
  <si>
    <t>Total received quantity in the last 3 months from the GRN export.</t>
  </si>
  <si>
    <t>Sheet7 col I, O</t>
  </si>
  <si>
    <t>Uses purchases, not issues. Header typo: Lost.</t>
  </si>
  <si>
    <t>=W4/3</t>
  </si>
  <si>
    <t>Three-month received quantity divided by 3 (CO2: 5,871.67).</t>
  </si>
  <si>
    <t>W</t>
  </si>
  <si>
    <t>Y4</t>
  </si>
  <si>
    <t>=X4/$X$1</t>
  </si>
  <si>
    <t>Divided by 26 working days (CO2: 225.83).</t>
  </si>
  <si>
    <t>X, X1</t>
  </si>
  <si>
    <t>Min stock level</t>
  </si>
  <si>
    <t>=ROUNDUP((Y4*AA4)+(Y4+AB4),0)</t>
  </si>
  <si>
    <t>MSL = lead-time demand + (daily quantity + hold days). CO2 row: 906.</t>
  </si>
  <si>
    <t>Y, AA, AB</t>
  </si>
  <si>
    <t>Same unit mix-up as Plan!BO.</t>
  </si>
  <si>
    <t>=ROUNDUP((AF4+Z4)-(Y4*AA4),0)</t>
  </si>
  <si>
    <t>Max = re-order level + MOQ - lead-time demand. This works out to MSL + MOQ. CO2 row: 1,582.</t>
  </si>
  <si>
    <t>AF, Z, Y, AA</t>
  </si>
  <si>
    <t>=ROUND(Y4*AA4,0)</t>
  </si>
  <si>
    <t>Daily quantity x lead time (CO2: 678).</t>
  </si>
  <si>
    <t>Y, AA</t>
  </si>
  <si>
    <t>=AC4+AE4</t>
  </si>
  <si>
    <t>MSL + lead-time quantity. CO2 row: 1,584.</t>
  </si>
  <si>
    <t>AC, AE</t>
  </si>
  <si>
    <t>Lead-time demand is counted in both AC and AE.</t>
  </si>
  <si>
    <t>=V4*AC4</t>
  </si>
  <si>
    <t>Rate (V) x MSL.</t>
  </si>
  <si>
    <t>V, AC</t>
  </si>
  <si>
    <t>Today O/S</t>
  </si>
  <si>
    <t>=SUMIF(Sheet4!A:A,@'Plan (2)'!C:C,Sheet4!E:E)</t>
  </si>
  <si>
    <t>Current stock from the stock export.</t>
  </si>
  <si>
    <t>Sheet4 col A, E</t>
  </si>
  <si>
    <t>Notes</t>
  </si>
  <si>
    <t>Intent written beside the table</t>
  </si>
  <si>
    <t>Minimum Stock Level = Reorder Level - (Average Consumption x Lead Time). Maximum Stock Level = Reorder Level + Reorder Quantity - (Minimum Usage x Lead Time).</t>
  </si>
  <si>
    <t>The sheet's own statement of what MSL and max should mean.</t>
  </si>
  <si>
    <t>Text note</t>
  </si>
  <si>
    <t>These notes do not match the formulas in AC and AF.</t>
  </si>
  <si>
    <t>Summary plan</t>
  </si>
  <si>
    <t>C4</t>
  </si>
  <si>
    <t>Schedule value Rs.</t>
  </si>
  <si>
    <t>=SUMPRODUCT(($B$3=Plan!$D$4:$D$1086)*('Summary plan'!$B4=Plan!$E$4:$E$1086)*Plan!$AE$4:$AE$1086)</t>
  </si>
  <si>
    <t>Adds Plan order value (AE) for the category in B3 and the material type in B4.</t>
  </si>
  <si>
    <t>Summary and totals</t>
  </si>
  <si>
    <t>Plan D, E, AE</t>
  </si>
  <si>
    <t>Called schedule value but reads Order Value R1.</t>
  </si>
  <si>
    <t>D4</t>
  </si>
  <si>
    <t>Schedule Qty</t>
  </si>
  <si>
    <t>=SUMPRODUCT(($B$3=Plan!$D$4:$D$1086)*('Summary plan'!$B4=Plan!$E$4:$E$1086)*Plan!$AD$4:$AD$1086)</t>
  </si>
  <si>
    <t>Adds Plan order quantity (AD) for the same category and type.</t>
  </si>
  <si>
    <t>Plan D, E, AD</t>
  </si>
  <si>
    <t>Adds quantities in different units.</t>
  </si>
  <si>
    <t>E4</t>
  </si>
  <si>
    <t>Purchase value Rs.</t>
  </si>
  <si>
    <t>=SUMPRODUCT(($B$3=Plan!$D$4:$D$1086)*('Summary plan'!$B4=Plan!$E$4:$E$1086)*Plan!$AS$4:$AS$1086)</t>
  </si>
  <si>
    <t>Adds Plan total receipt value (AS).</t>
  </si>
  <si>
    <t>Plan D, E, AS</t>
  </si>
  <si>
    <t>Purchase Qty</t>
  </si>
  <si>
    <t>=SUMPRODUCT(($B$3=Plan!$D$4:$D$1086)*('Summary plan'!$B4=Plan!$E$4:$E$1086)*Plan!$AR$4:$AR$1086)</t>
  </si>
  <si>
    <t>Adds Plan total receipt quantity (AR).</t>
  </si>
  <si>
    <t>Plan D, E, AR</t>
  </si>
  <si>
    <t>C15, C26, C31, C35, C43</t>
  </si>
  <si>
    <t>Section totals</t>
  </si>
  <si>
    <t>=SUM(C4:C14)</t>
  </si>
  <si>
    <t>Adds the item rows of each section (same in D, E, F). Powder uses C17:C25, maintenance C28:C30, TFJ C33:C34, needles C37:C42.</t>
  </si>
  <si>
    <t>Section rows</t>
  </si>
  <si>
    <t>C44, E44</t>
  </si>
  <si>
    <t>Stationary</t>
  </si>
  <si>
    <t>=C45</t>
  </si>
  <si>
    <t>Shows the Printed Items row as Stationary. D and F are blank.</t>
  </si>
  <si>
    <t>C45, E45</t>
  </si>
  <si>
    <t>Left out of the grand total so it is not counted twice.</t>
  </si>
  <si>
    <t>C46</t>
  </si>
  <si>
    <t>Housekeeping items</t>
  </si>
  <si>
    <t>=SUMPRODUCT(($B$46=Plan!$D$4:$D$1086)*('Summary plan'!$B46=Plan!$E$4:$E$1086)*Plan!$AE$4:$AE$1086)</t>
  </si>
  <si>
    <t>Same SUMPRODUCT, but the category and the type both read cell B46.</t>
  </si>
  <si>
    <t>Only matches rows where category text equals type text.</t>
  </si>
  <si>
    <t>C47</t>
  </si>
  <si>
    <t>Grand total</t>
  </si>
  <si>
    <t>=C46+C45+C43+C35+C31+C26+C15</t>
  </si>
  <si>
    <t>Adds housekeeping, printed items and all section totals (same in D, E, F).</t>
  </si>
  <si>
    <t>Prd. Order</t>
  </si>
  <si>
    <t>Rows 1-4</t>
  </si>
  <si>
    <t>Month, schedule date, revision</t>
  </si>
  <si>
    <t>(typed)</t>
  </si>
  <si>
    <t>Header rows that label each quantity column (for example Aug'2026, 01.08.2026, R1 or R0).</t>
  </si>
  <si>
    <t>Typed values</t>
  </si>
  <si>
    <t>Revisions are columns, not records.</t>
  </si>
  <si>
    <t>E225</t>
  </si>
  <si>
    <t>ASHOK LEYLAND - TOTAL</t>
  </si>
  <si>
    <t>=SUM(E6:E224)</t>
  </si>
  <si>
    <t>Adds the customer's quantities (129,115).</t>
  </si>
  <si>
    <t>E6:E224</t>
  </si>
  <si>
    <t>E423</t>
  </si>
  <si>
    <t>TAFE - TOTAL</t>
  </si>
  <si>
    <t>=SUM(E227:E422)</t>
  </si>
  <si>
    <t>Adds TAFE quantities (70,236).</t>
  </si>
  <si>
    <t>E227:E422</t>
  </si>
  <si>
    <t>E505</t>
  </si>
  <si>
    <t>TAFE FED Assy Part - Total</t>
  </si>
  <si>
    <t>=SUM(E424:E504)</t>
  </si>
  <si>
    <t>Adds TAFE FED assembly quantities (0).</t>
  </si>
  <si>
    <t>E424:E504</t>
  </si>
  <si>
    <t>E521</t>
  </si>
  <si>
    <t>TAFE FED Child Parts - Total</t>
  </si>
  <si>
    <t>=SUM(E424:E520)</t>
  </si>
  <si>
    <t>Meant to add child parts, but the range starts at row 424.</t>
  </si>
  <si>
    <t>E424:E520</t>
  </si>
  <si>
    <t>Range overlaps the assembly total and includes E505. Would double count if quantities were not zero.</t>
  </si>
  <si>
    <t>E532, E543</t>
  </si>
  <si>
    <t>TVS component and child totals</t>
  </si>
  <si>
    <t>=SUM(E524:E531) and =SUM(E534:E542)</t>
  </si>
  <si>
    <t>Adds the TVS component rows and the TVS child-part rows.</t>
  </si>
  <si>
    <t>E524:E531, E534:E542</t>
  </si>
  <si>
    <t>E544</t>
  </si>
  <si>
    <t>TVS - TOTAL</t>
  </si>
  <si>
    <t>=E532+E543</t>
  </si>
  <si>
    <t>TVS total = component + child parts (167,884).</t>
  </si>
  <si>
    <t>E547</t>
  </si>
  <si>
    <t>MINDA - TOTAL</t>
  </si>
  <si>
    <t>=E546</t>
  </si>
  <si>
    <t>Takes the single Minda row (420).</t>
  </si>
  <si>
    <t>E546</t>
  </si>
  <si>
    <t>F549:F552</t>
  </si>
  <si>
    <t>Greaves frame tubes (R0 column)</t>
  </si>
  <si>
    <t>=SUMIF('https://d.docs.live.net/4. Consumables Data/Production order/[12.Prd. Order Aug-26- Rev.00.xlsx]FG'!$D:$D,C549,'https://d.docs.live.net/4. Consumables Data/Production order/[12.Prd. Order Aug-26- Rev.00.xlsx]FG'!$L:$L)</t>
  </si>
  <si>
    <t>Pulls the quantity for each frame tube from the FG sheet of another file.</t>
  </si>
  <si>
    <t>External file</t>
  </si>
  <si>
    <t>External file link. R1 cells (E549:E552) show #VALUE!.</t>
  </si>
  <si>
    <t>E522, E553</t>
  </si>
  <si>
    <t>TAFE FED grand total; Greaves total</t>
  </si>
  <si>
    <t>0 (typed)</t>
  </si>
  <si>
    <t>Totals typed as zero.</t>
  </si>
  <si>
    <t>Not formulas. Not included in the grand total.</t>
  </si>
  <si>
    <t>E555</t>
  </si>
  <si>
    <t>Grand Total</t>
  </si>
  <si>
    <t>=E547+E544+E521+E423+E225</t>
  </si>
  <si>
    <t>Adds Minda, TVS, TAFE FED child, TAFE and Ashok Leyland totals (367,655).</t>
  </si>
  <si>
    <t>Customer totals</t>
  </si>
  <si>
    <t>Leaves out Job Work (E623), Greaves and the TAFE FED assembly total.</t>
  </si>
  <si>
    <t>E623</t>
  </si>
  <si>
    <t>Job Work total</t>
  </si>
  <si>
    <t>=SUM(E560:E622)</t>
  </si>
  <si>
    <t>Adds the Job Work block (171,018).</t>
  </si>
  <si>
    <t>E560:E622</t>
  </si>
  <si>
    <t>Not part of the grand total.</t>
  </si>
  <si>
    <t>Powder coating area</t>
  </si>
  <si>
    <t>L4</t>
  </si>
  <si>
    <t>Sch qty R0 (Nos)</t>
  </si>
  <si>
    <t>=SUMIF('Prd. Order'!B:B,@'Powder coating area'!J:J,'Prd. Order'!E:E)</t>
  </si>
  <si>
    <t>Scheduled quantity of the part from the production order.</t>
  </si>
  <si>
    <t>Powder coating and paint</t>
  </si>
  <si>
    <t>Part No (J); Prd. Order col E</t>
  </si>
  <si>
    <t>M4</t>
  </si>
  <si>
    <t>Total Sq.ft R0</t>
  </si>
  <si>
    <t>=L4*K4</t>
  </si>
  <si>
    <t>Scheduled quantity x sq ft per part.</t>
  </si>
  <si>
    <t>L, K</t>
  </si>
  <si>
    <t>Total Sq.ft R2</t>
  </si>
  <si>
    <t>=N4*K4</t>
  </si>
  <si>
    <t>R2 quantity x sq ft per part. N (R2 quantity) is blank.</t>
  </si>
  <si>
    <t>N, K</t>
  </si>
  <si>
    <t>R2 quantity column is empty.</t>
  </si>
  <si>
    <t>Sch qty R3</t>
  </si>
  <si>
    <t>=SUMIF('Prd. Order'!B:B,'Powder coating area'!J4,'Prd. Order'!#REF!)</t>
  </si>
  <si>
    <t>Meant to read the R3 quantity.</t>
  </si>
  <si>
    <t>Broken reference (#REF!). Columns P to S all fail.</t>
  </si>
  <si>
    <t>Total Sq.ft R3</t>
  </si>
  <si>
    <t>=P4*K4</t>
  </si>
  <si>
    <t>R3 quantity x sq ft per part.</t>
  </si>
  <si>
    <t>P, K</t>
  </si>
  <si>
    <t>Sch qty R4</t>
  </si>
  <si>
    <t>=SUMIF('Prd. Order'!B:B,'Powder coating area'!J5,'Prd. Order'!#REF!)</t>
  </si>
  <si>
    <t>Meant to read the R4 quantity.</t>
  </si>
  <si>
    <t>Broken reference, and points at row 5 from row 4.</t>
  </si>
  <si>
    <t>Total Sq.ft R4</t>
  </si>
  <si>
    <t>=R4*K4</t>
  </si>
  <si>
    <t>R4 quantity x sq ft per part.</t>
  </si>
  <si>
    <t>R, K</t>
  </si>
  <si>
    <t>Prod. Qty (Consumption)</t>
  </si>
  <si>
    <t>=SUMIF('PIII-prd.entry'!B:B,'Powder coating area'!G4,'PIII-prd.entry'!K:K)</t>
  </si>
  <si>
    <t>Quantity actually produced, from the production entry export.</t>
  </si>
  <si>
    <t>PIII-prd.entry col B, K</t>
  </si>
  <si>
    <t>Prod Total Sq.ft</t>
  </si>
  <si>
    <t>=T4*K4</t>
  </si>
  <si>
    <t>Actual sq ft = produced quantity x sq ft per part.</t>
  </si>
  <si>
    <t>T, K</t>
  </si>
  <si>
    <t>Diff Sq ft R1 Vs Actual</t>
  </si>
  <si>
    <t>=U4-M4</t>
  </si>
  <si>
    <t>Actual sq ft minus planned sq ft.</t>
  </si>
  <si>
    <t>U, M</t>
  </si>
  <si>
    <t>Rework Qty.</t>
  </si>
  <si>
    <t>=SUMIF('Prd by PIII'!C:C,'Powder coating area'!J5,'Prd by PIII'!N:N)</t>
  </si>
  <si>
    <t>Rework quantity from the production export.</t>
  </si>
  <si>
    <t>Quality and rework KPIs</t>
  </si>
  <si>
    <t>Prd by PIII col C, N</t>
  </si>
  <si>
    <t>Points at row 5 from row 4.</t>
  </si>
  <si>
    <t>Z4</t>
  </si>
  <si>
    <t>Rework Sq. Ft.</t>
  </si>
  <si>
    <t>=Y4*K4</t>
  </si>
  <si>
    <t>Rework quantity x sq ft per part.</t>
  </si>
  <si>
    <t>Y, K</t>
  </si>
  <si>
    <t>Powder and Paint Sq ft . (2)</t>
  </si>
  <si>
    <t>L3</t>
  </si>
  <si>
    <t>Sch qty R1</t>
  </si>
  <si>
    <t>=SUMIF('Prd. Order'!B:B,@'Powder and Paint Sq ft . (2)'!I:I,'Prd. Order'!E:E)</t>
  </si>
  <si>
    <t>Older (Nov'23) copy of the powder sheet. Same quantity lookup.</t>
  </si>
  <si>
    <t>I; Prd. Order col E</t>
  </si>
  <si>
    <t>Labels still say Dec-23 and Nov-23. N to S include #REF! errors.</t>
  </si>
  <si>
    <t>T3</t>
  </si>
  <si>
    <t>Prod. Qty Nov'2023</t>
  </si>
  <si>
    <t>=SUMIF('PIII-prd.entry'!D:D,@'Powder and Paint Sq ft . (2)'!I:I,'PIII-prd.entry'!K:K)</t>
  </si>
  <si>
    <t>Actual produced quantity.</t>
  </si>
  <si>
    <t>PIII-prd.entry col D, K</t>
  </si>
  <si>
    <t>powder and paint sq ft -Req</t>
  </si>
  <si>
    <t>H6</t>
  </si>
  <si>
    <t>Area Coated</t>
  </si>
  <si>
    <t>=SUMIF('Powder coating area'!F:F,@'powder and paint sq ft -Req'!C:C,'Powder coating area'!M:M)</t>
  </si>
  <si>
    <t>Total sq ft coated for the powder item.</t>
  </si>
  <si>
    <t>Powder coating area col F, M</t>
  </si>
  <si>
    <t>I6</t>
  </si>
  <si>
    <t>Qty. Consumed</t>
  </si>
  <si>
    <t>=H6/F6</t>
  </si>
  <si>
    <t>Quantity consumed = area / coverage per unit (F, for example 100 sq ft per kg).</t>
  </si>
  <si>
    <t>H, F</t>
  </si>
  <si>
    <t>J6</t>
  </si>
  <si>
    <t>Consumption Cost</t>
  </si>
  <si>
    <t>=I6*G6</t>
  </si>
  <si>
    <t>Quantity x column G (Cost per KGs).</t>
  </si>
  <si>
    <t>I, G</t>
  </si>
  <si>
    <t>Uses column G, not the Rate column. The values differ (for example 173 vs 210).</t>
  </si>
  <si>
    <t>H14, I14</t>
  </si>
  <si>
    <t>Thinner</t>
  </si>
  <si>
    <t>=H11 and =I11/4</t>
  </si>
  <si>
    <t>Thinner quantity = paint quantity divided by 4.</t>
  </si>
  <si>
    <t>H11, I11</t>
  </si>
  <si>
    <t>The 4 (mix ratio) is typed in the formula.</t>
  </si>
  <si>
    <t>H19:I26</t>
  </si>
  <si>
    <t>Chemicals</t>
  </si>
  <si>
    <t>=H17 and =H19/F19</t>
  </si>
  <si>
    <t>Area is the total powder area; quantity = area / coverage per unit (for example 1,000 sq ft per kg).</t>
  </si>
  <si>
    <t>H17, F19</t>
  </si>
  <si>
    <t>H28, H29</t>
  </si>
  <si>
    <t>Sprays</t>
  </si>
  <si>
    <t>=H7 and =H6</t>
  </si>
  <si>
    <t>Spray area is taken from the matt black and jet black powder areas.</t>
  </si>
  <si>
    <t>H6, H7</t>
  </si>
  <si>
    <t>H31, I31</t>
  </si>
  <si>
    <t>LPG gas</t>
  </si>
  <si>
    <t>=H10 and =H31/F31</t>
  </si>
  <si>
    <t>LPG quantity = total area / 30 sq ft per cum.</t>
  </si>
  <si>
    <t>H10, F31</t>
  </si>
  <si>
    <t>Welding length P5,P2,P5</t>
  </si>
  <si>
    <t>N6</t>
  </si>
  <si>
    <t>Weld Length</t>
  </si>
  <si>
    <t>=SUM(H6:M6)</t>
  </si>
  <si>
    <t>Total weld bead length per part (3, 4, 5, 6, 8 and 12 mm columns).</t>
  </si>
  <si>
    <t>Welding and shot blasting</t>
  </si>
  <si>
    <t>H to M (typed lengths)</t>
  </si>
  <si>
    <t>O6</t>
  </si>
  <si>
    <t>Sch qty</t>
  </si>
  <si>
    <t>=SUMIF('Prd. Order'!B:B,@'Welding length P5,P2,P5'!C:C,'Prd. Order'!E:E)</t>
  </si>
  <si>
    <t>Scheduled quantity from the production order.</t>
  </si>
  <si>
    <t>Prd. Order col E</t>
  </si>
  <si>
    <t>P6</t>
  </si>
  <si>
    <t>Total welding length</t>
  </si>
  <si>
    <t>=O6*N6</t>
  </si>
  <si>
    <t>Scheduled quantity x weld length per part.</t>
  </si>
  <si>
    <t>O, N</t>
  </si>
  <si>
    <t>Q6</t>
  </si>
  <si>
    <t>Steel shots req</t>
  </si>
  <si>
    <t>=G6*O6</t>
  </si>
  <si>
    <t>Part weight x scheduled quantity (kg).</t>
  </si>
  <si>
    <t>G, O</t>
  </si>
  <si>
    <t xml:space="preserve">Shot blasting </t>
  </si>
  <si>
    <t>G7</t>
  </si>
  <si>
    <t>=IF(E7=$D$4,F7*$E$4,F7*$E$5)</t>
  </si>
  <si>
    <t>Cost per part = weight x Hanger rate (2.2 per kg) or Rolling rate (1.6 per kg).</t>
  </si>
  <si>
    <t>E, F, D4, E4, E5</t>
  </si>
  <si>
    <t>H7</t>
  </si>
  <si>
    <t>=SUMIF('Prd. Order'!B:B,@'Shot blasting '!D:D,'Prd. Order'!E:E)</t>
  </si>
  <si>
    <t>Header still says Sept'2025.</t>
  </si>
  <si>
    <t>I7</t>
  </si>
  <si>
    <t>Total kgs for shot blasting</t>
  </si>
  <si>
    <t>=H7*F7</t>
  </si>
  <si>
    <t>Scheduled quantity x part weight.</t>
  </si>
  <si>
    <t>Packing list for Al parts</t>
  </si>
  <si>
    <t>Sh Qty</t>
  </si>
  <si>
    <t>=SUMIF('Prd. Order'!B:B,@'Packing list for Al parts'!B:B,'Prd. Order'!E:E)</t>
  </si>
  <si>
    <t>Scheduled quantity of the part.</t>
  </si>
  <si>
    <t>Packing</t>
  </si>
  <si>
    <t>PACKING_RATIO</t>
  </si>
  <si>
    <t>G4</t>
  </si>
  <si>
    <t>Req qty (cartons)</t>
  </si>
  <si>
    <t>=ROUNDUP(F4/D4,0)</t>
  </si>
  <si>
    <t>Cartons = scheduled quantity / pieces per carton, rounded up.</t>
  </si>
  <si>
    <t>F, D</t>
  </si>
  <si>
    <t>Req. Qty per month</t>
  </si>
  <si>
    <t>=+I4/D4</t>
  </si>
  <si>
    <t>Average monthly packing quantity / pieces per carton.</t>
  </si>
  <si>
    <t>I, D</t>
  </si>
  <si>
    <t>Average quantity is typed (for example 800).</t>
  </si>
  <si>
    <t>F21</t>
  </si>
  <si>
    <t>Total</t>
  </si>
  <si>
    <t>=SUM(F4:F20)</t>
  </si>
  <si>
    <t>Adds the scheduled quantities and the carton counts for one carton size.</t>
  </si>
  <si>
    <t>F4:F20</t>
  </si>
  <si>
    <t xml:space="preserve">packing list for tafe </t>
  </si>
  <si>
    <t>Sh qty</t>
  </si>
  <si>
    <t>Schedule quantity</t>
  </si>
  <si>
    <t>=SUMIF('Prd. Order'!B:B,@'packing list for tafe '!B:B,'Prd. Order'!E:E)</t>
  </si>
  <si>
    <t>Scheduled quantity of the TAFE part.</t>
  </si>
  <si>
    <t>Headers look shifted by one column against the formulas.</t>
  </si>
  <si>
    <t>Bubble sheet</t>
  </si>
  <si>
    <t>Bubble sheet per cover</t>
  </si>
  <si>
    <t>=D4*E4</t>
  </si>
  <si>
    <t>Schedule quantity x quantity per part.</t>
  </si>
  <si>
    <t>D, E</t>
  </si>
  <si>
    <t>Strip roll</t>
  </si>
  <si>
    <t>Requirement of strip roll big</t>
  </si>
  <si>
    <t>=L4*J4</t>
  </si>
  <si>
    <t>Schedule quantity x strip rolls per part.</t>
  </si>
  <si>
    <t>L, J</t>
  </si>
  <si>
    <t>Bubble sheet total</t>
  </si>
  <si>
    <t>=I4*L4</t>
  </si>
  <si>
    <t>Bubble sheet per cover x schedule quantity.</t>
  </si>
  <si>
    <t>I, L</t>
  </si>
  <si>
    <t>Packing Items 22.6.2026</t>
  </si>
  <si>
    <t>H5</t>
  </si>
  <si>
    <t>=SUMIF('Prd. Order'!B:B,@'Packing Items 22.6.2026'!B:B,'Prd. Order'!E:E)</t>
  </si>
  <si>
    <t>I5</t>
  </si>
  <si>
    <t>Cover Qty in nos</t>
  </si>
  <si>
    <t>=H5/G5</t>
  </si>
  <si>
    <t>Covers = scheduled quantity / cover capacity.</t>
  </si>
  <si>
    <t>H, G</t>
  </si>
  <si>
    <t>J5</t>
  </si>
  <si>
    <t>Cover req in kgs</t>
  </si>
  <si>
    <t>=I5/F5</t>
  </si>
  <si>
    <t>Cover weight = number of covers / output per kg.</t>
  </si>
  <si>
    <t>I, F</t>
  </si>
  <si>
    <t>L5</t>
  </si>
  <si>
    <t>Kgs/Mtrs</t>
  </si>
  <si>
    <t>=I5*'https://d.docs.live.net/4. Consumables Data/Production order/[Sales packing list.xlsx]Sheet2'!$F$10</t>
  </si>
  <si>
    <t>Covers x a factor read from a fixed cell in another file.</t>
  </si>
  <si>
    <t>I; external file cell F10</t>
  </si>
  <si>
    <t>External link to a fixed cell. Other rows point to F89, F90 and $F$5.</t>
  </si>
  <si>
    <t>Q5</t>
  </si>
  <si>
    <t>Bubble sheet (18x9mm)</t>
  </si>
  <si>
    <t>=IFERROR((H5*P5),0)</t>
  </si>
  <si>
    <t>Schedule quantity x the norm in column P.</t>
  </si>
  <si>
    <t>H, P</t>
  </si>
  <si>
    <t>Which material column P holds is unclear from the header.</t>
  </si>
  <si>
    <t>Packing material list</t>
  </si>
  <si>
    <t>Req Qty columns</t>
  </si>
  <si>
    <t>Req Qty</t>
  </si>
  <si>
    <t>=J3*I3</t>
  </si>
  <si>
    <t>For each material: norm per part x scheduled quantity (same in every Req Qty column).</t>
  </si>
  <si>
    <t>Norm column, schedule column</t>
  </si>
  <si>
    <t>One cell contains a lone = sign.</t>
  </si>
  <si>
    <t>Sheet3</t>
  </si>
  <si>
    <t>G5</t>
  </si>
  <si>
    <t>=SUMIF('Prd. Order'!C:C,@Sheet3!C:C,'Prd. Order'!E:E)</t>
  </si>
  <si>
    <t>Scheduled quantity looked up by Item Id (column C), not Part No.</t>
  </si>
  <si>
    <t>Prd. Order col C, E</t>
  </si>
  <si>
    <t>No of Box</t>
  </si>
  <si>
    <t>=IFERROR(ROUNDUP(G5/I5,0),0)</t>
  </si>
  <si>
    <t>Cartons = scheduled quantity / carton packing quantity, rounded up.</t>
  </si>
  <si>
    <t>G, I</t>
  </si>
  <si>
    <t>N11</t>
  </si>
  <si>
    <t>Cover packing qty x carton qty</t>
  </si>
  <si>
    <t>=M11*I11</t>
  </si>
  <si>
    <t>Covers needed per carton (cover packing quantity x carton packing quantity).</t>
  </si>
  <si>
    <t>M, I</t>
  </si>
  <si>
    <t>Meaning inferred from the headers.</t>
  </si>
  <si>
    <t>packing</t>
  </si>
  <si>
    <t>Full weight</t>
  </si>
  <si>
    <t>Container full weight</t>
  </si>
  <si>
    <t>=(E9*H9)+K9</t>
  </si>
  <si>
    <t>Capacity x unit weight + empty container weight.</t>
  </si>
  <si>
    <t>E, H, K</t>
  </si>
  <si>
    <t>Area / Volume</t>
  </si>
  <si>
    <t>Container area and volume</t>
  </si>
  <si>
    <t>=M9*N9/10^6 and =O9*P9/10^3</t>
  </si>
  <si>
    <t>Area in square metres, then volume in cubic metres.</t>
  </si>
  <si>
    <t>M, N, O, P</t>
  </si>
  <si>
    <t>T10</t>
  </si>
  <si>
    <t>Sch Qty</t>
  </si>
  <si>
    <t>=SUMIF('Prd. Order'!B:B,@packing!B:B,'Prd. Order'!E:E)</t>
  </si>
  <si>
    <t>Scheduled quantity for each container line.</t>
  </si>
  <si>
    <t>U23</t>
  </si>
  <si>
    <t>Cover Req in kg</t>
  </si>
  <si>
    <t>=ROUNDUP(T23/123,0)</t>
  </si>
  <si>
    <t>Group total divided by a typed divisor (123, 32, 25, 249, 162 depending on group).</t>
  </si>
  <si>
    <t>T group total</t>
  </si>
  <si>
    <t>The divisors are typed. Rows from 131 down have quantities but no group subtotal.</t>
  </si>
  <si>
    <t>Tafe Total</t>
  </si>
  <si>
    <t>=T130+T127+T112+T99+T80+T73+T64+T60+T33+T29+T23</t>
  </si>
  <si>
    <t>Adds the cover-size group totals.</t>
  </si>
  <si>
    <t>Group totals</t>
  </si>
  <si>
    <t>Requirement report (tools list)</t>
  </si>
  <si>
    <t>Column C</t>
  </si>
  <si>
    <t>Cutting tool requirement</t>
  </si>
  <si>
    <t>=Plan!AC9</t>
  </si>
  <si>
    <t>Shows the Plan requirement for each tap or tool (also =Plan!AC20, =Plan!AC42 and so on).</t>
  </si>
  <si>
    <t>Plan!AC rows</t>
  </si>
  <si>
    <t>Hard-coded row links. Report is titled Mar-2023. Sheet name not visible in the pasted text.</t>
  </si>
  <si>
    <t>Powder coating production report</t>
  </si>
  <si>
    <t>D6</t>
  </si>
  <si>
    <t>Area (check)</t>
  </si>
  <si>
    <t>=VLOOKUP(@C:C,'Powder coating area'!J:J,1,0)</t>
  </si>
  <si>
    <t>Checks that the part exists in the powder coating sheet (returns the part number).</t>
  </si>
  <si>
    <t>Powder coating area col J</t>
  </si>
  <si>
    <t>Report dated Dec-23.</t>
  </si>
  <si>
    <t>H6, J6, L6</t>
  </si>
  <si>
    <t>Planned, actual, next plan (Sq.ft)</t>
  </si>
  <si>
    <t>=G6*E6, =I6*E6, =+K6*E6</t>
  </si>
  <si>
    <t>Quantity x area per part for the plan, the actual and the next plan.</t>
  </si>
  <si>
    <t>G, I, K, E</t>
  </si>
  <si>
    <t>T6</t>
  </si>
  <si>
    <t>Closing Qty</t>
  </si>
  <si>
    <t>=M6+N6-R6</t>
  </si>
  <si>
    <t>Opening rejection qty + rejection qty - passed qty.</t>
  </si>
  <si>
    <t>M, N, R</t>
  </si>
  <si>
    <t>U6, V6</t>
  </si>
  <si>
    <t>Plan and actual bill value</t>
  </si>
  <si>
    <t>=F6*G6 and =I6*F6</t>
  </si>
  <si>
    <t>Customer price x planned quantity, and x actual quantity.</t>
  </si>
  <si>
    <t>F, G, I</t>
  </si>
  <si>
    <t>AC6, AD6</t>
  </si>
  <si>
    <t>Rework cost</t>
  </si>
  <si>
    <t>=Z6*AA6 and =Z6*AB6</t>
  </si>
  <si>
    <t>Cost per item x quantity reworked in paint shop and powder coating.</t>
  </si>
  <si>
    <t>Z, AA, AB</t>
  </si>
  <si>
    <t>Rework and scrap %</t>
  </si>
  <si>
    <t>KPIs</t>
  </si>
  <si>
    <t>=N190/I190*100; =R190/I190*1000000; =P190/I190; =P190/I190*1000000</t>
  </si>
  <si>
    <t>Rework %, rework PPM, scrap % and scrap PPM.</t>
  </si>
  <si>
    <t>N, R, P, I</t>
  </si>
  <si>
    <t>Rework PPM uses R (passed) not N. Scrap % has no x100. Liquid painting scrap % divides by H.</t>
  </si>
  <si>
    <t>Pre-treatment area</t>
  </si>
  <si>
    <t>Total pre-treatment area</t>
  </si>
  <si>
    <t>=SUM(J6:J85)+J102+J103+J104+...</t>
  </si>
  <si>
    <t>Adds actual sq ft for a hand-picked list of rows.</t>
  </si>
  <si>
    <t>J (selected rows)</t>
  </si>
  <si>
    <t>Cell list is typed. New rows are missed.</t>
  </si>
  <si>
    <t>Liquid painting total</t>
  </si>
  <si>
    <t>Total Liquid Painting</t>
  </si>
  <si>
    <t>=+E359+E360-4987</t>
  </si>
  <si>
    <t>Adds primer and top coat actual sq ft, minus a typed adjustment of 4,987.</t>
  </si>
  <si>
    <t>E359, E360</t>
  </si>
  <si>
    <t>Typed adjustment.</t>
  </si>
  <si>
    <t>Plan (header), others</t>
  </si>
  <si>
    <t>X-cells in headers</t>
  </si>
  <si>
    <t>Typed constants written as formulas</t>
  </si>
  <si>
    <t>=2800/26, =181000/30, =460+460+460+460+460, =1100*3.3, =4.5*1100, =+AF12/110, =+AF21/60, =2.7*2500, =215/15</t>
  </si>
  <si>
    <t>Quick calculations kept in cells with no label.</t>
  </si>
  <si>
    <t>Typed numbers</t>
  </si>
  <si>
    <t>The reason for each number is not stored. Needs KNL approval before use.</t>
  </si>
  <si>
    <t>Formulas grouped by purpose</t>
  </si>
  <si>
    <t>What this group answers</t>
  </si>
  <si>
    <t>Formulas listed</t>
  </si>
  <si>
    <t>Pulls stock, receipt and issue figures from the ERP exports (SUMIF on Item Id).</t>
  </si>
  <si>
    <t>Works out how much of each consumable is needed: scheduled quantity x usage, area / coverage, tool life, or plant requests.</t>
  </si>
  <si>
    <t>Sets minimum, maximum and re-order levels from daily use, lead time and hold days. Three different versions exist.</t>
  </si>
  <si>
    <t>Turns requirement, MSL and stock into an order quantity and value, and tracks receipts.</t>
  </si>
  <si>
    <t>Averages and daily consumption, and actual-versus-plan comparisons.</t>
  </si>
  <si>
    <t>Totals by customer, section and category, and report links.</t>
  </si>
  <si>
    <t>Cartons, covers, tape, strip rolls and bubble sheet per scheduled quantity.</t>
  </si>
  <si>
    <t>Sq ft to coat, powder and paint quantity, chemicals, thinner and LPG.</t>
  </si>
  <si>
    <t>Weld length, steel shots and shot-blasting cost.</t>
  </si>
  <si>
    <t>Rework, scrap and bill-value figures in the production report.</t>
  </si>
  <si>
    <t>Serial numbers, external links and typed constants written as formulas.</t>
  </si>
  <si>
    <t>How the workbook patterns map to the project's rule types</t>
  </si>
  <si>
    <t>Pattern in the workbook</t>
  </si>
  <si>
    <t>Examples (sheet, cell)</t>
  </si>
  <si>
    <t>Parameters to store in the rule master</t>
  </si>
  <si>
    <t>Rounding seen</t>
  </si>
  <si>
    <t>To confirm with KNL</t>
  </si>
  <si>
    <t>Scheduled quantity x usage per part</t>
  </si>
  <si>
    <t>Plan AA (child rows); Welding length P6; Shot blasting I7</t>
  </si>
  <si>
    <t>Usage per part (M), unit</t>
  </si>
  <si>
    <t>None in Plan AA; round up in parent AC</t>
  </si>
  <si>
    <t>Source and approval of each usage figure</t>
  </si>
  <si>
    <t>Quantity x sq ft per part, then area / coverage</t>
  </si>
  <si>
    <t>Plan AA (powder); Powder coating area M4; powder and paint sq ft -Req I6</t>
  </si>
  <si>
    <t>Sq ft per part, coverage per kg or litre, unit</t>
  </si>
  <si>
    <t>ROUND in Plan AA (powder); none in Req sheet</t>
  </si>
  <si>
    <t>Coverage per material; whether rework area is added; thinner ratio (1 in 4)</t>
  </si>
  <si>
    <t>Scheduled quantity / pieces per pack</t>
  </si>
  <si>
    <t>Packing list for Al parts G4; Sheet3 J5; Packing Items I5</t>
  </si>
  <si>
    <t>Pieces per carton or cover, cover size, material per pack</t>
  </si>
  <si>
    <t>ROUNDUP to whole cartons</t>
  </si>
  <si>
    <t>Pieces per pack by part; whether covers are weight or count</t>
  </si>
  <si>
    <t>Operations = quantity x operations per part; tools = operations / tool life</t>
  </si>
  <si>
    <t>Plan AC (parent rows) with N as tool life</t>
  </si>
  <si>
    <t>Operations per part (M), tool life (N)</t>
  </si>
  <si>
    <t>ROUNDUP</t>
  </si>
  <si>
    <t>Tool life per tool; one rounding per tool or per total</t>
  </si>
  <si>
    <t>FIXED_QUANTITY</t>
  </si>
  <si>
    <t>Typed quantity</t>
  </si>
  <si>
    <t>Plan: plant tags and similar typed rows</t>
  </si>
  <si>
    <t>Fixed quantity per period</t>
  </si>
  <si>
    <t>None</t>
  </si>
  <si>
    <t>Which items are fixed</t>
  </si>
  <si>
    <t>Sum of plant and department requests</t>
  </si>
  <si>
    <t>Plan AA4 =BG4 (CO2); BG4 =SUM(AT4:BF4)</t>
  </si>
  <si>
    <t>Plant, department, quantity, reason</t>
  </si>
  <si>
    <t>Who may request, approval, no double counting with production demand</t>
  </si>
  <si>
    <t>MAINTENANCE</t>
  </si>
  <si>
    <t>Not separate in the workbook</t>
  </si>
  <si>
    <t>Summary plan section 3 (Plant &amp; Machinery Maintenance)</t>
  </si>
  <si>
    <t>Maintenance quantity per period</t>
  </si>
  <si>
    <t>n/a</t>
  </si>
  <si>
    <t>Whether maintenance has its own rule</t>
  </si>
  <si>
    <t>MSL, max and re-order level; order = MSL + requirement - stock, at least MOQ</t>
  </si>
  <si>
    <t>Plan V4, W4, AD4; BO4 to BT4; Plan (2) AC4 to AF4</t>
  </si>
  <si>
    <t>MSL days or quantity, lead time, hold days, MOQ, pack multiple</t>
  </si>
  <si>
    <t>ROUNDUP / ROUND</t>
  </si>
  <si>
    <t>Which MSL definition is approved; whether incoming orders are netted</t>
  </si>
  <si>
    <t>Problems found in the formulas (do not copy these into the ERP)</t>
  </si>
  <si>
    <t>Severity</t>
  </si>
  <si>
    <t>Cell / range</t>
  </si>
  <si>
    <t>Problem</t>
  </si>
  <si>
    <t>Why it matters</t>
  </si>
  <si>
    <t>Suggested approach (needs KNL approval)</t>
  </si>
  <si>
    <t>High</t>
  </si>
  <si>
    <t>Plan; Plan (2)</t>
  </si>
  <si>
    <t>Plan BO:BR; Plan (2) AC:AF</t>
  </si>
  <si>
    <t>MSL adds a daily quantity to a number of days: (BK*BM)+(BK+BN). Lead-time demand is then added again in the re-order level.</t>
  </si>
  <si>
    <t>Safety stock is overstated and the unit does not make sense.</t>
  </si>
  <si>
    <t>Confirm the definition. The sheet's own note suggests MSL = daily use x hold days and re-order level = daily use x (lead time + hold days).</t>
  </si>
  <si>
    <t>V, BO, BT</t>
  </si>
  <si>
    <t>Three different MSL or re-order definitions in one sheet (CO2: 981, 541 and 1,278).</t>
  </si>
  <si>
    <t>Different columns give different answers for the same item.</t>
  </si>
  <si>
    <t>Approve one definition and store it in the rule master.</t>
  </si>
  <si>
    <t>V (some rows)</t>
  </si>
  <si>
    <t>MSL uses 10 days for most rows but 5, 15 or 20 for others, 86 rows are unrounded, and V414 and V804 are typed.</t>
  </si>
  <si>
    <t>No single rule can be applied to all items.</t>
  </si>
  <si>
    <t>Store days of cover per item with an approver.</t>
  </si>
  <si>
    <t>AD, AN</t>
  </si>
  <si>
    <t>Order quantity ignores incoming orders and receipts, and applies no pack size or order multiple.</t>
  </si>
  <si>
    <t>Can over-order when material is already on the way.</t>
  </si>
  <si>
    <t>Define net need with confirmed incoming supply and approved MOQ, pack and multiple rules.</t>
  </si>
  <si>
    <t>AH vs Y</t>
  </si>
  <si>
    <t>R2 schedule reads the same production-order column as R1.</t>
  </si>
  <si>
    <t>R2 equals R1 unless rewired by hand.</t>
  </si>
  <si>
    <t>Store revisions as records and pick the approved one.</t>
  </si>
  <si>
    <t>TAFE FED child-parts total sums E424:E520, overlapping the assembly rows and total.</t>
  </si>
  <si>
    <t>Would double count when quantities exist (zero this month).</t>
  </si>
  <si>
    <t>Use separate, non-overlapping ranges or no subtotal formulas.</t>
  </si>
  <si>
    <t>P to S, R4, Y4</t>
  </si>
  <si>
    <t>#REF! errors, and some formulas read the next row (J5 in row 4).</t>
  </si>
  <si>
    <t>R3 and R4 areas and rework quantities are wrong or blank.</t>
  </si>
  <si>
    <t>Rebuild from the PRD data, not from column positions.</t>
  </si>
  <si>
    <t>Medium</t>
  </si>
  <si>
    <t>AK, AM</t>
  </si>
  <si>
    <t>Headers say closing stock and issue qty, but the formulas read receipts (G) and opening qty (E) of an empty sheet.</t>
  </si>
  <si>
    <t>R2 results rest on zeros.</t>
  </si>
  <si>
    <t>Map columns by name, not by position.</t>
  </si>
  <si>
    <t>BJ</t>
  </si>
  <si>
    <t>Average monthly consumption is typed (457 rows) and does not match the Plan (2) average for 355 of 455 items.</t>
  </si>
  <si>
    <t>Source of the consumption average is unknown.</t>
  </si>
  <si>
    <t>Decide the source: issues, not purchases.</t>
  </si>
  <si>
    <t>W:X</t>
  </si>
  <si>
    <t>Average consumption is based on GRN receipts (purchases).</t>
  </si>
  <si>
    <t>Purchases are not consumption.</t>
  </si>
  <si>
    <t>Use stock issues once the transaction convention is confirmed.</t>
  </si>
  <si>
    <t>C:F</t>
  </si>
  <si>
    <t>Columns called Schedule value and Purchase value read Order value and Receipt value.</t>
  </si>
  <si>
    <t>Labels do not match the numbers.</t>
  </si>
  <si>
    <t>Rename or recalculate with approved definitions.</t>
  </si>
  <si>
    <t>Housekeeping row compares category and type against the same cell.</t>
  </si>
  <si>
    <t>Total may be wrong.</t>
  </si>
  <si>
    <t>Use a separate category cell.</t>
  </si>
  <si>
    <t>E555, E623</t>
  </si>
  <si>
    <t>Grand total leaves out Job Work and the typed-zero Greaves and TAFE FED totals.</t>
  </si>
  <si>
    <t>Totals depend on which blocks are included.</t>
  </si>
  <si>
    <t>Define which blocks make up demand.</t>
  </si>
  <si>
    <t>Greaves quantities come from an external file; R1 cells show #VALUE!.</t>
  </si>
  <si>
    <t>Result depends on a file that is not part of the workbook.</t>
  </si>
  <si>
    <t>Import the FG data into the new system.</t>
  </si>
  <si>
    <t>J6:J9</t>
  </si>
  <si>
    <t>Consumption cost uses Cost per KGs (G) rather than Rate (E); the two differ.</t>
  </si>
  <si>
    <t>Cost may be misstated.</t>
  </si>
  <si>
    <t>Confirm which price applies.</t>
  </si>
  <si>
    <t>Rework and scrap KPIs</t>
  </si>
  <si>
    <t>Rework PPM uses R (passed) not N; scrap % has no x100; liquid scrap % divides by H.</t>
  </si>
  <si>
    <t>KPI formulas are inconsistent.</t>
  </si>
  <si>
    <t>Define each KPI once.</t>
  </si>
  <si>
    <t>Low</t>
  </si>
  <si>
    <t>Packing Items 22.6.2026; packing</t>
  </si>
  <si>
    <t>L5, T group</t>
  </si>
  <si>
    <t>External links to fixed cells in Sales packing list.xlsx, typed divisors (123, 32, 25, 249, 162), and rows 131 and below outside the Tafe total.</t>
  </si>
  <si>
    <t>Fragile and hard to audit.</t>
  </si>
  <si>
    <t>Store pieces per pack in the rule master.</t>
  </si>
  <si>
    <t>Several</t>
  </si>
  <si>
    <t>Header and note cells</t>
  </si>
  <si>
    <t>Typed constants written as formulas (for example =215/15, =2800/26, =181000/30) and stale labels (Mar-2023, Nov'23, Sept'2025, Auguest'2026).</t>
  </si>
  <si>
    <t>Reasoning behind numbers is lost.</t>
  </si>
  <si>
    <t>Record each number with its source and date.</t>
  </si>
  <si>
    <t>AP4, others</t>
  </si>
  <si>
    <t>@ implicit-intersection operator appears in formulas copied from newer Excel.</t>
  </si>
  <si>
    <t>Harmless in Excel but confusing when pasted.</t>
  </si>
  <si>
    <t>Use plain row references in the new system.</t>
  </si>
  <si>
    <t>ROUNDUP(AC4/($X$1 x $U$3),0)</t>
  </si>
  <si>
    <t>ROUNDUP((AF4+Z4)-(Y4*AA4),0)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</si>
</sst>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name val="Consolas"/>
      <charset val="1"/>
    </font>
    <font>
      <b/>
      <sz val="14"/>
      <color rgb="FF1F3A5F"/>
      <name val="Arial"/>
      <charset val="1"/>
    </font>
    <font>
      <b/>
      <sz val="10"/>
      <name val="Arial"/>
      <charset val="1"/>
    </font>
    <font>
      <b/>
      <sz val="10"/>
      <color rgb="FFB00020"/>
      <name val="Arial"/>
      <charset val="1"/>
    </font>
    <font>
      <b/>
      <sz val="10"/>
      <color rgb="FFB26A00"/>
      <name val="Arial"/>
      <charset val="1"/>
    </font>
    <font>
      <b/>
      <sz val="10"/>
      <color rgb="FF2E7D3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6F9FC"/>
        <bgColor rgb="FFFFFFFF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B26A00"/>
      <rgbColor rgb="FF800080"/>
      <rgbColor rgb="FF008080"/>
      <rgbColor rgb="FFC0C0C0"/>
      <rgbColor rgb="FF808080"/>
      <rgbColor rgb="FF9999FF"/>
      <rgbColor rgb="FF993366"/>
      <rgbColor rgb="FFF6F9FC"/>
      <rgbColor rgb="FFCCFFFF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O142" sqref="O142"/>
    </sheetView>
  </sheetViews>
  <sheetFormatPr defaultColWidth="8.6640625" defaultRowHeight="14.4" x14ac:dyDescent="0.3"/>
  <cols>
    <col min="1" max="1" width="5" customWidth="1"/>
    <col min="2" max="2" width="24" customWidth="1"/>
    <col min="3" max="3" width="18" customWidth="1"/>
    <col min="4" max="4" width="26" customWidth="1"/>
    <col min="5" max="5" width="60" customWidth="1"/>
    <col min="6" max="6" width="48" customWidth="1"/>
    <col min="7" max="7" width="26" customWidth="1"/>
    <col min="8" max="8" width="18" customWidth="1"/>
    <col min="9" max="9" width="24" customWidth="1"/>
    <col min="10" max="10" width="48" customWidth="1"/>
    <col min="11" max="11" width="14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 x14ac:dyDescent="0.3">
      <c r="A2" s="2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26.4" x14ac:dyDescent="0.3">
      <c r="A3" s="4">
        <v>2</v>
      </c>
      <c r="B3" s="4" t="s">
        <v>11</v>
      </c>
      <c r="C3" s="4" t="s">
        <v>21</v>
      </c>
      <c r="D3" s="4" t="s">
        <v>22</v>
      </c>
      <c r="E3" s="5" t="s">
        <v>23</v>
      </c>
      <c r="F3" s="4" t="s">
        <v>24</v>
      </c>
      <c r="G3" s="4" t="s">
        <v>16</v>
      </c>
      <c r="H3" s="4" t="s">
        <v>17</v>
      </c>
      <c r="I3" s="4" t="s">
        <v>18</v>
      </c>
      <c r="J3" s="4" t="s">
        <v>25</v>
      </c>
      <c r="K3" s="4" t="s">
        <v>20</v>
      </c>
    </row>
    <row r="4" spans="1:11" ht="26.4" x14ac:dyDescent="0.3">
      <c r="A4" s="2">
        <v>3</v>
      </c>
      <c r="B4" s="2" t="s">
        <v>11</v>
      </c>
      <c r="C4" s="2" t="s">
        <v>26</v>
      </c>
      <c r="D4" s="2" t="s">
        <v>27</v>
      </c>
      <c r="E4" s="3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/>
      <c r="K4" s="2" t="s">
        <v>20</v>
      </c>
    </row>
    <row r="5" spans="1:11" ht="26.4" x14ac:dyDescent="0.3">
      <c r="A5" s="4">
        <v>4</v>
      </c>
      <c r="B5" s="4" t="s">
        <v>11</v>
      </c>
      <c r="C5" s="4" t="s">
        <v>33</v>
      </c>
      <c r="D5" s="4" t="s">
        <v>34</v>
      </c>
      <c r="E5" s="5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/>
      <c r="K5" s="4" t="s">
        <v>20</v>
      </c>
    </row>
    <row r="6" spans="1:11" x14ac:dyDescent="0.3">
      <c r="A6" s="2">
        <v>5</v>
      </c>
      <c r="B6" s="2" t="s">
        <v>11</v>
      </c>
      <c r="C6" s="2" t="s">
        <v>40</v>
      </c>
      <c r="D6" s="2" t="s">
        <v>41</v>
      </c>
      <c r="E6" s="3" t="s">
        <v>42</v>
      </c>
      <c r="F6" s="2" t="s">
        <v>43</v>
      </c>
      <c r="G6" s="2" t="s">
        <v>44</v>
      </c>
      <c r="H6" s="2" t="s">
        <v>31</v>
      </c>
      <c r="I6" s="2" t="s">
        <v>45</v>
      </c>
      <c r="J6" s="2"/>
      <c r="K6" s="2" t="s">
        <v>20</v>
      </c>
    </row>
    <row r="7" spans="1:11" ht="24" x14ac:dyDescent="0.3">
      <c r="A7" s="4">
        <v>6</v>
      </c>
      <c r="B7" s="4" t="s">
        <v>11</v>
      </c>
      <c r="C7" s="4" t="s">
        <v>46</v>
      </c>
      <c r="D7" s="4" t="s">
        <v>47</v>
      </c>
      <c r="E7" s="5" t="s">
        <v>48</v>
      </c>
      <c r="F7" s="4" t="s">
        <v>49</v>
      </c>
      <c r="G7" s="4" t="s">
        <v>37</v>
      </c>
      <c r="H7" s="4" t="s">
        <v>38</v>
      </c>
      <c r="I7" s="4" t="s">
        <v>50</v>
      </c>
      <c r="J7" s="4"/>
      <c r="K7" s="4" t="s">
        <v>20</v>
      </c>
    </row>
    <row r="8" spans="1:11" ht="24" x14ac:dyDescent="0.3">
      <c r="A8" s="2">
        <v>7</v>
      </c>
      <c r="B8" s="2" t="s">
        <v>11</v>
      </c>
      <c r="C8" s="2" t="s">
        <v>51</v>
      </c>
      <c r="D8" s="2" t="s">
        <v>52</v>
      </c>
      <c r="E8" s="3" t="s">
        <v>53</v>
      </c>
      <c r="F8" s="2" t="s">
        <v>54</v>
      </c>
      <c r="G8" s="2" t="s">
        <v>37</v>
      </c>
      <c r="H8" s="2" t="s">
        <v>38</v>
      </c>
      <c r="I8" s="2" t="s">
        <v>55</v>
      </c>
      <c r="J8" s="2"/>
      <c r="K8" s="2" t="s">
        <v>20</v>
      </c>
    </row>
    <row r="9" spans="1:11" ht="26.4" x14ac:dyDescent="0.3">
      <c r="A9" s="4">
        <v>8</v>
      </c>
      <c r="B9" s="4" t="s">
        <v>11</v>
      </c>
      <c r="C9" s="4" t="s">
        <v>56</v>
      </c>
      <c r="D9" s="4" t="s">
        <v>57</v>
      </c>
      <c r="E9" s="5" t="s">
        <v>58</v>
      </c>
      <c r="F9" s="4" t="s">
        <v>59</v>
      </c>
      <c r="G9" s="4" t="s">
        <v>37</v>
      </c>
      <c r="H9" s="4" t="s">
        <v>38</v>
      </c>
      <c r="I9" s="4" t="s">
        <v>60</v>
      </c>
      <c r="J9" s="4"/>
      <c r="K9" s="4" t="s">
        <v>20</v>
      </c>
    </row>
    <row r="10" spans="1:11" x14ac:dyDescent="0.3">
      <c r="A10" s="2">
        <v>9</v>
      </c>
      <c r="B10" s="2" t="s">
        <v>11</v>
      </c>
      <c r="C10" s="2" t="s">
        <v>61</v>
      </c>
      <c r="D10" s="2" t="s">
        <v>62</v>
      </c>
      <c r="E10" s="3" t="s">
        <v>63</v>
      </c>
      <c r="F10" s="2" t="s">
        <v>64</v>
      </c>
      <c r="G10" s="2" t="s">
        <v>44</v>
      </c>
      <c r="H10" s="2" t="s">
        <v>31</v>
      </c>
      <c r="I10" s="2" t="s">
        <v>65</v>
      </c>
      <c r="J10" s="2"/>
      <c r="K10" s="2" t="s">
        <v>20</v>
      </c>
    </row>
    <row r="11" spans="1:11" x14ac:dyDescent="0.3">
      <c r="A11" s="4">
        <v>10</v>
      </c>
      <c r="B11" s="4" t="s">
        <v>11</v>
      </c>
      <c r="C11" s="4" t="s">
        <v>66</v>
      </c>
      <c r="D11" s="4" t="s">
        <v>67</v>
      </c>
      <c r="E11" s="5" t="s">
        <v>68</v>
      </c>
      <c r="F11" s="4" t="s">
        <v>69</v>
      </c>
      <c r="G11" s="4" t="s">
        <v>44</v>
      </c>
      <c r="H11" s="4" t="s">
        <v>17</v>
      </c>
      <c r="I11" s="4" t="s">
        <v>18</v>
      </c>
      <c r="J11" s="4"/>
      <c r="K11" s="4" t="s">
        <v>20</v>
      </c>
    </row>
    <row r="12" spans="1:11" ht="26.4" x14ac:dyDescent="0.3">
      <c r="A12" s="2">
        <v>11</v>
      </c>
      <c r="B12" s="2" t="s">
        <v>11</v>
      </c>
      <c r="C12" s="2" t="s">
        <v>70</v>
      </c>
      <c r="D12" s="2" t="s">
        <v>71</v>
      </c>
      <c r="E12" s="3" t="s">
        <v>933</v>
      </c>
      <c r="F12" s="2" t="s">
        <v>72</v>
      </c>
      <c r="G12" s="2" t="s">
        <v>16</v>
      </c>
      <c r="H12" s="2" t="s">
        <v>73</v>
      </c>
      <c r="I12" s="2" t="s">
        <v>74</v>
      </c>
      <c r="J12" s="2" t="s">
        <v>75</v>
      </c>
      <c r="K12" s="2" t="s">
        <v>20</v>
      </c>
    </row>
    <row r="13" spans="1:11" ht="26.4" x14ac:dyDescent="0.3">
      <c r="A13" s="4">
        <v>12</v>
      </c>
      <c r="B13" s="4" t="s">
        <v>11</v>
      </c>
      <c r="C13" s="4" t="s">
        <v>76</v>
      </c>
      <c r="D13" s="4" t="s">
        <v>77</v>
      </c>
      <c r="E13" s="5" t="s">
        <v>934</v>
      </c>
      <c r="F13" s="4" t="s">
        <v>78</v>
      </c>
      <c r="G13" s="4" t="s">
        <v>16</v>
      </c>
      <c r="H13" s="4" t="s">
        <v>73</v>
      </c>
      <c r="I13" s="4" t="s">
        <v>79</v>
      </c>
      <c r="J13" s="4" t="s">
        <v>80</v>
      </c>
      <c r="K13" s="4" t="s">
        <v>20</v>
      </c>
    </row>
    <row r="14" spans="1:11" x14ac:dyDescent="0.3">
      <c r="A14" s="2">
        <v>13</v>
      </c>
      <c r="B14" s="2" t="s">
        <v>11</v>
      </c>
      <c r="C14" s="2" t="s">
        <v>81</v>
      </c>
      <c r="D14" s="2" t="s">
        <v>82</v>
      </c>
      <c r="E14" s="3" t="s">
        <v>83</v>
      </c>
      <c r="F14" s="2" t="s">
        <v>84</v>
      </c>
      <c r="G14" s="2" t="s">
        <v>44</v>
      </c>
      <c r="H14" s="2" t="s">
        <v>17</v>
      </c>
      <c r="I14" s="2" t="s">
        <v>18</v>
      </c>
      <c r="J14" s="2"/>
      <c r="K14" s="2" t="s">
        <v>20</v>
      </c>
    </row>
    <row r="15" spans="1:11" ht="26.4" x14ac:dyDescent="0.3">
      <c r="A15" s="4">
        <v>14</v>
      </c>
      <c r="B15" s="4" t="s">
        <v>11</v>
      </c>
      <c r="C15" s="4" t="s">
        <v>85</v>
      </c>
      <c r="D15" s="4" t="s">
        <v>86</v>
      </c>
      <c r="E15" s="5" t="s">
        <v>87</v>
      </c>
      <c r="F15" s="4" t="s">
        <v>88</v>
      </c>
      <c r="G15" s="4" t="s">
        <v>89</v>
      </c>
      <c r="H15" s="4" t="s">
        <v>90</v>
      </c>
      <c r="I15" s="4" t="s">
        <v>91</v>
      </c>
      <c r="J15" s="4" t="s">
        <v>92</v>
      </c>
      <c r="K15" s="4" t="s">
        <v>93</v>
      </c>
    </row>
    <row r="16" spans="1:11" x14ac:dyDescent="0.3">
      <c r="A16" s="2">
        <v>15</v>
      </c>
      <c r="B16" s="2" t="s">
        <v>11</v>
      </c>
      <c r="C16" s="2" t="s">
        <v>94</v>
      </c>
      <c r="D16" s="2" t="s">
        <v>95</v>
      </c>
      <c r="E16" s="3" t="s">
        <v>96</v>
      </c>
      <c r="F16" s="2" t="s">
        <v>97</v>
      </c>
      <c r="G16" s="2" t="s">
        <v>89</v>
      </c>
      <c r="H16" s="2" t="s">
        <v>98</v>
      </c>
      <c r="I16" s="2" t="s">
        <v>99</v>
      </c>
      <c r="J16" s="2"/>
      <c r="K16" s="2" t="s">
        <v>93</v>
      </c>
    </row>
    <row r="17" spans="1:11" ht="26.4" x14ac:dyDescent="0.3">
      <c r="A17" s="4">
        <v>16</v>
      </c>
      <c r="B17" s="4" t="s">
        <v>11</v>
      </c>
      <c r="C17" s="4" t="s">
        <v>100</v>
      </c>
      <c r="D17" s="4" t="s">
        <v>101</v>
      </c>
      <c r="E17" s="5" t="s">
        <v>102</v>
      </c>
      <c r="F17" s="4" t="s">
        <v>103</v>
      </c>
      <c r="G17" s="4" t="s">
        <v>89</v>
      </c>
      <c r="H17" s="4" t="s">
        <v>90</v>
      </c>
      <c r="I17" s="4" t="s">
        <v>104</v>
      </c>
      <c r="J17" s="4"/>
      <c r="K17" s="4" t="s">
        <v>93</v>
      </c>
    </row>
    <row r="18" spans="1:11" x14ac:dyDescent="0.3">
      <c r="A18" s="2">
        <v>17</v>
      </c>
      <c r="B18" s="2" t="s">
        <v>11</v>
      </c>
      <c r="C18" s="2" t="s">
        <v>105</v>
      </c>
      <c r="D18" s="2" t="s">
        <v>101</v>
      </c>
      <c r="E18" s="3" t="s">
        <v>106</v>
      </c>
      <c r="F18" s="2" t="s">
        <v>107</v>
      </c>
      <c r="G18" s="2" t="s">
        <v>89</v>
      </c>
      <c r="H18" s="2" t="s">
        <v>98</v>
      </c>
      <c r="I18" s="2" t="s">
        <v>108</v>
      </c>
      <c r="J18" s="2"/>
      <c r="K18" s="2" t="s">
        <v>93</v>
      </c>
    </row>
    <row r="19" spans="1:11" ht="26.4" x14ac:dyDescent="0.3">
      <c r="A19" s="4">
        <v>18</v>
      </c>
      <c r="B19" s="4" t="s">
        <v>11</v>
      </c>
      <c r="C19" s="4" t="s">
        <v>109</v>
      </c>
      <c r="D19" s="4" t="s">
        <v>101</v>
      </c>
      <c r="E19" s="5" t="s">
        <v>110</v>
      </c>
      <c r="F19" s="4" t="s">
        <v>111</v>
      </c>
      <c r="G19" s="4" t="s">
        <v>89</v>
      </c>
      <c r="H19" s="4" t="s">
        <v>112</v>
      </c>
      <c r="I19" s="4" t="s">
        <v>113</v>
      </c>
      <c r="J19" s="4"/>
      <c r="K19" s="4" t="s">
        <v>20</v>
      </c>
    </row>
    <row r="20" spans="1:11" x14ac:dyDescent="0.3">
      <c r="A20" s="2">
        <v>19</v>
      </c>
      <c r="B20" s="2" t="s">
        <v>11</v>
      </c>
      <c r="C20" s="2" t="s">
        <v>114</v>
      </c>
      <c r="D20" s="2" t="s">
        <v>115</v>
      </c>
      <c r="E20" s="3" t="s">
        <v>116</v>
      </c>
      <c r="F20" s="2" t="s">
        <v>117</v>
      </c>
      <c r="G20" s="2" t="s">
        <v>37</v>
      </c>
      <c r="H20" s="2" t="s">
        <v>38</v>
      </c>
      <c r="I20" s="2" t="s">
        <v>118</v>
      </c>
      <c r="J20" s="2"/>
      <c r="K20" s="2" t="s">
        <v>20</v>
      </c>
    </row>
    <row r="21" spans="1:11" ht="26.4" x14ac:dyDescent="0.3">
      <c r="A21" s="4">
        <v>20</v>
      </c>
      <c r="B21" s="4" t="s">
        <v>11</v>
      </c>
      <c r="C21" s="4" t="s">
        <v>119</v>
      </c>
      <c r="D21" s="4" t="s">
        <v>120</v>
      </c>
      <c r="E21" s="5" t="s">
        <v>121</v>
      </c>
      <c r="F21" s="4" t="s">
        <v>122</v>
      </c>
      <c r="G21" s="4" t="s">
        <v>89</v>
      </c>
      <c r="H21" s="4" t="s">
        <v>123</v>
      </c>
      <c r="I21" s="4" t="s">
        <v>124</v>
      </c>
      <c r="J21" s="4"/>
      <c r="K21" s="4" t="s">
        <v>93</v>
      </c>
    </row>
    <row r="22" spans="1:11" ht="26.4" x14ac:dyDescent="0.3">
      <c r="A22" s="2">
        <v>21</v>
      </c>
      <c r="B22" s="2" t="s">
        <v>11</v>
      </c>
      <c r="C22" s="2" t="s">
        <v>125</v>
      </c>
      <c r="D22" s="2" t="s">
        <v>120</v>
      </c>
      <c r="E22" s="3" t="s">
        <v>126</v>
      </c>
      <c r="F22" s="2" t="s">
        <v>127</v>
      </c>
      <c r="G22" s="2" t="s">
        <v>89</v>
      </c>
      <c r="H22" s="2" t="s">
        <v>128</v>
      </c>
      <c r="I22" s="2" t="s">
        <v>129</v>
      </c>
      <c r="J22" s="2"/>
      <c r="K22" s="2" t="s">
        <v>20</v>
      </c>
    </row>
    <row r="23" spans="1:11" ht="39.6" x14ac:dyDescent="0.3">
      <c r="A23" s="4">
        <v>22</v>
      </c>
      <c r="B23" s="4" t="s">
        <v>11</v>
      </c>
      <c r="C23" s="4" t="s">
        <v>130</v>
      </c>
      <c r="D23" s="4" t="s">
        <v>131</v>
      </c>
      <c r="E23" s="5" t="s">
        <v>132</v>
      </c>
      <c r="F23" s="4" t="s">
        <v>133</v>
      </c>
      <c r="G23" s="4" t="s">
        <v>44</v>
      </c>
      <c r="H23" s="4" t="s">
        <v>73</v>
      </c>
      <c r="I23" s="4" t="s">
        <v>134</v>
      </c>
      <c r="J23" s="4" t="s">
        <v>135</v>
      </c>
      <c r="K23" s="4" t="s">
        <v>20</v>
      </c>
    </row>
    <row r="24" spans="1:11" x14ac:dyDescent="0.3">
      <c r="A24" s="2">
        <v>23</v>
      </c>
      <c r="B24" s="2" t="s">
        <v>11</v>
      </c>
      <c r="C24" s="2" t="s">
        <v>136</v>
      </c>
      <c r="D24" s="2" t="s">
        <v>137</v>
      </c>
      <c r="E24" s="3" t="s">
        <v>138</v>
      </c>
      <c r="F24" s="2" t="s">
        <v>139</v>
      </c>
      <c r="G24" s="2" t="s">
        <v>44</v>
      </c>
      <c r="H24" s="2" t="s">
        <v>31</v>
      </c>
      <c r="I24" s="2" t="s">
        <v>140</v>
      </c>
      <c r="J24" s="2"/>
      <c r="K24" s="2" t="s">
        <v>20</v>
      </c>
    </row>
    <row r="25" spans="1:11" x14ac:dyDescent="0.3">
      <c r="A25" s="4">
        <v>24</v>
      </c>
      <c r="B25" s="4" t="s">
        <v>11</v>
      </c>
      <c r="C25" s="4" t="s">
        <v>141</v>
      </c>
      <c r="D25" s="4" t="s">
        <v>142</v>
      </c>
      <c r="E25" s="5" t="s">
        <v>143</v>
      </c>
      <c r="F25" s="4" t="s">
        <v>144</v>
      </c>
      <c r="G25" s="4" t="s">
        <v>37</v>
      </c>
      <c r="H25" s="4" t="s">
        <v>38</v>
      </c>
      <c r="I25" s="4" t="s">
        <v>145</v>
      </c>
      <c r="J25" s="4"/>
      <c r="K25" s="4" t="s">
        <v>20</v>
      </c>
    </row>
    <row r="26" spans="1:11" x14ac:dyDescent="0.3">
      <c r="A26" s="2">
        <v>25</v>
      </c>
      <c r="B26" s="2" t="s">
        <v>11</v>
      </c>
      <c r="C26" s="2" t="s">
        <v>146</v>
      </c>
      <c r="D26" s="2" t="s">
        <v>147</v>
      </c>
      <c r="E26" s="3" t="s">
        <v>148</v>
      </c>
      <c r="F26" s="2" t="s">
        <v>149</v>
      </c>
      <c r="G26" s="2" t="s">
        <v>44</v>
      </c>
      <c r="H26" s="2" t="s">
        <v>31</v>
      </c>
      <c r="I26" s="2" t="s">
        <v>150</v>
      </c>
      <c r="J26" s="2"/>
      <c r="K26" s="2" t="s">
        <v>20</v>
      </c>
    </row>
    <row r="27" spans="1:11" ht="26.4" x14ac:dyDescent="0.3">
      <c r="A27" s="4">
        <v>26</v>
      </c>
      <c r="B27" s="4" t="s">
        <v>11</v>
      </c>
      <c r="C27" s="4" t="s">
        <v>151</v>
      </c>
      <c r="D27" s="4" t="s">
        <v>152</v>
      </c>
      <c r="E27" s="5" t="s">
        <v>110</v>
      </c>
      <c r="F27" s="4" t="s">
        <v>153</v>
      </c>
      <c r="G27" s="4" t="s">
        <v>89</v>
      </c>
      <c r="H27" s="4" t="s">
        <v>112</v>
      </c>
      <c r="I27" s="4" t="s">
        <v>113</v>
      </c>
      <c r="J27" s="4" t="s">
        <v>154</v>
      </c>
      <c r="K27" s="4" t="s">
        <v>20</v>
      </c>
    </row>
    <row r="28" spans="1:11" x14ac:dyDescent="0.3">
      <c r="A28" s="2">
        <v>27</v>
      </c>
      <c r="B28" s="2" t="s">
        <v>11</v>
      </c>
      <c r="C28" s="2" t="s">
        <v>155</v>
      </c>
      <c r="D28" s="2" t="s">
        <v>156</v>
      </c>
      <c r="E28" s="3" t="s">
        <v>157</v>
      </c>
      <c r="F28" s="2" t="s">
        <v>158</v>
      </c>
      <c r="G28" s="2" t="s">
        <v>89</v>
      </c>
      <c r="H28" s="2" t="s">
        <v>128</v>
      </c>
      <c r="I28" s="2" t="s">
        <v>159</v>
      </c>
      <c r="J28" s="2"/>
      <c r="K28" s="2" t="s">
        <v>20</v>
      </c>
    </row>
    <row r="29" spans="1:11" x14ac:dyDescent="0.3">
      <c r="A29" s="4">
        <v>28</v>
      </c>
      <c r="B29" s="4" t="s">
        <v>11</v>
      </c>
      <c r="C29" s="4" t="s">
        <v>160</v>
      </c>
      <c r="D29" s="4" t="s">
        <v>161</v>
      </c>
      <c r="E29" s="5" t="s">
        <v>162</v>
      </c>
      <c r="F29" s="4" t="s">
        <v>163</v>
      </c>
      <c r="G29" s="4" t="s">
        <v>89</v>
      </c>
      <c r="H29" s="4" t="s">
        <v>164</v>
      </c>
      <c r="I29" s="4" t="s">
        <v>165</v>
      </c>
      <c r="J29" s="4"/>
      <c r="K29" s="4" t="s">
        <v>20</v>
      </c>
    </row>
    <row r="30" spans="1:11" ht="26.4" x14ac:dyDescent="0.3">
      <c r="A30" s="2">
        <v>29</v>
      </c>
      <c r="B30" s="2" t="s">
        <v>11</v>
      </c>
      <c r="C30" s="2" t="s">
        <v>166</v>
      </c>
      <c r="D30" s="2" t="s">
        <v>167</v>
      </c>
      <c r="E30" s="3" t="s">
        <v>168</v>
      </c>
      <c r="F30" s="2" t="s">
        <v>169</v>
      </c>
      <c r="G30" s="2" t="s">
        <v>37</v>
      </c>
      <c r="H30" s="2" t="s">
        <v>38</v>
      </c>
      <c r="I30" s="2" t="s">
        <v>170</v>
      </c>
      <c r="J30" s="2" t="s">
        <v>171</v>
      </c>
      <c r="K30" s="2" t="s">
        <v>20</v>
      </c>
    </row>
    <row r="31" spans="1:11" x14ac:dyDescent="0.3">
      <c r="A31" s="4">
        <v>30</v>
      </c>
      <c r="B31" s="4" t="s">
        <v>11</v>
      </c>
      <c r="C31" s="4" t="s">
        <v>172</v>
      </c>
      <c r="D31" s="4" t="s">
        <v>173</v>
      </c>
      <c r="E31" s="5" t="s">
        <v>174</v>
      </c>
      <c r="F31" s="4" t="s">
        <v>175</v>
      </c>
      <c r="G31" s="4" t="s">
        <v>89</v>
      </c>
      <c r="H31" s="4" t="s">
        <v>31</v>
      </c>
      <c r="I31" s="4" t="s">
        <v>176</v>
      </c>
      <c r="J31" s="4"/>
      <c r="K31" s="4" t="s">
        <v>20</v>
      </c>
    </row>
    <row r="32" spans="1:11" ht="24" x14ac:dyDescent="0.3">
      <c r="A32" s="2">
        <v>31</v>
      </c>
      <c r="B32" s="2" t="s">
        <v>11</v>
      </c>
      <c r="C32" s="2" t="s">
        <v>177</v>
      </c>
      <c r="D32" s="2" t="s">
        <v>178</v>
      </c>
      <c r="E32" s="3" t="s">
        <v>179</v>
      </c>
      <c r="F32" s="2" t="s">
        <v>180</v>
      </c>
      <c r="G32" s="2" t="s">
        <v>37</v>
      </c>
      <c r="H32" s="2" t="s">
        <v>38</v>
      </c>
      <c r="I32" s="2" t="s">
        <v>181</v>
      </c>
      <c r="J32" s="2" t="s">
        <v>182</v>
      </c>
      <c r="K32" s="2" t="s">
        <v>20</v>
      </c>
    </row>
    <row r="33" spans="1:11" ht="24" x14ac:dyDescent="0.3">
      <c r="A33" s="4">
        <v>32</v>
      </c>
      <c r="B33" s="4" t="s">
        <v>11</v>
      </c>
      <c r="C33" s="4" t="s">
        <v>183</v>
      </c>
      <c r="D33" s="4" t="s">
        <v>184</v>
      </c>
      <c r="E33" s="5" t="s">
        <v>185</v>
      </c>
      <c r="F33" s="4" t="s">
        <v>186</v>
      </c>
      <c r="G33" s="4" t="s">
        <v>44</v>
      </c>
      <c r="H33" s="4" t="s">
        <v>73</v>
      </c>
      <c r="I33" s="4" t="s">
        <v>187</v>
      </c>
      <c r="J33" s="4"/>
      <c r="K33" s="4" t="s">
        <v>20</v>
      </c>
    </row>
    <row r="34" spans="1:11" x14ac:dyDescent="0.3">
      <c r="A34" s="2">
        <v>33</v>
      </c>
      <c r="B34" s="2" t="s">
        <v>11</v>
      </c>
      <c r="C34" s="2" t="s">
        <v>188</v>
      </c>
      <c r="D34" s="2" t="s">
        <v>189</v>
      </c>
      <c r="E34" s="3" t="s">
        <v>190</v>
      </c>
      <c r="F34" s="2" t="s">
        <v>191</v>
      </c>
      <c r="G34" s="2" t="s">
        <v>44</v>
      </c>
      <c r="H34" s="2" t="s">
        <v>31</v>
      </c>
      <c r="I34" s="2" t="s">
        <v>192</v>
      </c>
      <c r="J34" s="2"/>
      <c r="K34" s="2" t="s">
        <v>20</v>
      </c>
    </row>
    <row r="35" spans="1:11" x14ac:dyDescent="0.3">
      <c r="A35" s="4">
        <v>34</v>
      </c>
      <c r="B35" s="4" t="s">
        <v>11</v>
      </c>
      <c r="C35" s="4" t="s">
        <v>193</v>
      </c>
      <c r="D35" s="4" t="s">
        <v>194</v>
      </c>
      <c r="E35" s="5" t="s">
        <v>195</v>
      </c>
      <c r="F35" s="4" t="s">
        <v>196</v>
      </c>
      <c r="G35" s="4" t="s">
        <v>37</v>
      </c>
      <c r="H35" s="4" t="s">
        <v>38</v>
      </c>
      <c r="I35" s="4" t="s">
        <v>197</v>
      </c>
      <c r="J35" s="4" t="s">
        <v>198</v>
      </c>
      <c r="K35" s="4" t="s">
        <v>20</v>
      </c>
    </row>
    <row r="36" spans="1:11" x14ac:dyDescent="0.3">
      <c r="A36" s="2">
        <v>35</v>
      </c>
      <c r="B36" s="2" t="s">
        <v>11</v>
      </c>
      <c r="C36" s="2" t="s">
        <v>199</v>
      </c>
      <c r="D36" s="2" t="s">
        <v>200</v>
      </c>
      <c r="E36" s="3" t="s">
        <v>201</v>
      </c>
      <c r="F36" s="2" t="s">
        <v>202</v>
      </c>
      <c r="G36" s="2" t="s">
        <v>44</v>
      </c>
      <c r="H36" s="2" t="s">
        <v>31</v>
      </c>
      <c r="I36" s="2" t="s">
        <v>203</v>
      </c>
      <c r="J36" s="2"/>
      <c r="K36" s="2" t="s">
        <v>20</v>
      </c>
    </row>
    <row r="37" spans="1:11" x14ac:dyDescent="0.3">
      <c r="A37" s="4">
        <v>36</v>
      </c>
      <c r="B37" s="4" t="s">
        <v>11</v>
      </c>
      <c r="C37" s="4" t="s">
        <v>204</v>
      </c>
      <c r="D37" s="4" t="s">
        <v>205</v>
      </c>
      <c r="E37" s="5" t="s">
        <v>206</v>
      </c>
      <c r="F37" s="4" t="s">
        <v>207</v>
      </c>
      <c r="G37" s="4" t="s">
        <v>44</v>
      </c>
      <c r="H37" s="4" t="s">
        <v>31</v>
      </c>
      <c r="I37" s="4" t="s">
        <v>208</v>
      </c>
      <c r="J37" s="4"/>
      <c r="K37" s="4" t="s">
        <v>20</v>
      </c>
    </row>
    <row r="38" spans="1:11" x14ac:dyDescent="0.3">
      <c r="A38" s="2">
        <v>37</v>
      </c>
      <c r="B38" s="2" t="s">
        <v>11</v>
      </c>
      <c r="C38" s="2" t="s">
        <v>209</v>
      </c>
      <c r="D38" s="2" t="s">
        <v>210</v>
      </c>
      <c r="E38" s="3" t="s">
        <v>211</v>
      </c>
      <c r="F38" s="2" t="s">
        <v>212</v>
      </c>
      <c r="G38" s="2" t="s">
        <v>44</v>
      </c>
      <c r="H38" s="2" t="s">
        <v>31</v>
      </c>
      <c r="I38" s="2" t="s">
        <v>213</v>
      </c>
      <c r="J38" s="2"/>
      <c r="K38" s="2" t="s">
        <v>20</v>
      </c>
    </row>
    <row r="39" spans="1:11" ht="26.4" x14ac:dyDescent="0.3">
      <c r="A39" s="4">
        <v>38</v>
      </c>
      <c r="B39" s="4" t="s">
        <v>11</v>
      </c>
      <c r="C39" s="4" t="s">
        <v>214</v>
      </c>
      <c r="D39" s="4" t="s">
        <v>215</v>
      </c>
      <c r="E39" s="5" t="s">
        <v>216</v>
      </c>
      <c r="F39" s="4" t="s">
        <v>217</v>
      </c>
      <c r="G39" s="4" t="s">
        <v>89</v>
      </c>
      <c r="H39" s="4" t="s">
        <v>112</v>
      </c>
      <c r="I39" s="4" t="s">
        <v>218</v>
      </c>
      <c r="J39" s="4"/>
      <c r="K39" s="4" t="s">
        <v>20</v>
      </c>
    </row>
    <row r="40" spans="1:11" x14ac:dyDescent="0.3">
      <c r="A40" s="2">
        <v>39</v>
      </c>
      <c r="B40" s="2" t="s">
        <v>11</v>
      </c>
      <c r="C40" s="2" t="s">
        <v>219</v>
      </c>
      <c r="D40" s="2" t="s">
        <v>220</v>
      </c>
      <c r="E40" s="3" t="s">
        <v>221</v>
      </c>
      <c r="F40" s="2" t="s">
        <v>222</v>
      </c>
      <c r="G40" s="2" t="s">
        <v>89</v>
      </c>
      <c r="H40" s="2" t="s">
        <v>112</v>
      </c>
      <c r="I40" s="2" t="s">
        <v>223</v>
      </c>
      <c r="J40" s="2"/>
      <c r="K40" s="2" t="s">
        <v>20</v>
      </c>
    </row>
    <row r="41" spans="1:11" x14ac:dyDescent="0.3">
      <c r="A41" s="4">
        <v>40</v>
      </c>
      <c r="B41" s="4" t="s">
        <v>11</v>
      </c>
      <c r="C41" s="4" t="s">
        <v>224</v>
      </c>
      <c r="D41" s="4" t="s">
        <v>225</v>
      </c>
      <c r="E41" s="5" t="s">
        <v>226</v>
      </c>
      <c r="F41" s="4" t="s">
        <v>227</v>
      </c>
      <c r="G41" s="4" t="s">
        <v>89</v>
      </c>
      <c r="H41" s="4" t="s">
        <v>112</v>
      </c>
      <c r="I41" s="4" t="s">
        <v>228</v>
      </c>
      <c r="J41" s="4"/>
      <c r="K41" s="4" t="s">
        <v>20</v>
      </c>
    </row>
    <row r="42" spans="1:11" x14ac:dyDescent="0.3">
      <c r="A42" s="2">
        <v>41</v>
      </c>
      <c r="B42" s="2" t="s">
        <v>11</v>
      </c>
      <c r="C42" s="2" t="s">
        <v>229</v>
      </c>
      <c r="D42" s="2" t="s">
        <v>230</v>
      </c>
      <c r="E42" s="3" t="s">
        <v>231</v>
      </c>
      <c r="F42" s="2" t="s">
        <v>232</v>
      </c>
      <c r="G42" s="2" t="s">
        <v>89</v>
      </c>
      <c r="H42" s="2" t="s">
        <v>112</v>
      </c>
      <c r="I42" s="2" t="s">
        <v>233</v>
      </c>
      <c r="J42" s="2"/>
      <c r="K42" s="2" t="s">
        <v>20</v>
      </c>
    </row>
    <row r="43" spans="1:11" x14ac:dyDescent="0.3">
      <c r="A43" s="4">
        <v>42</v>
      </c>
      <c r="B43" s="4" t="s">
        <v>11</v>
      </c>
      <c r="C43" s="4" t="s">
        <v>234</v>
      </c>
      <c r="D43" s="4" t="s">
        <v>235</v>
      </c>
      <c r="E43" s="5" t="s">
        <v>236</v>
      </c>
      <c r="F43" s="4" t="s">
        <v>237</v>
      </c>
      <c r="G43" s="4" t="s">
        <v>89</v>
      </c>
      <c r="H43" s="4" t="s">
        <v>112</v>
      </c>
      <c r="I43" s="4" t="s">
        <v>238</v>
      </c>
      <c r="J43" s="4"/>
      <c r="K43" s="4" t="s">
        <v>20</v>
      </c>
    </row>
    <row r="44" spans="1:11" x14ac:dyDescent="0.3">
      <c r="A44" s="2">
        <v>43</v>
      </c>
      <c r="B44" s="2" t="s">
        <v>11</v>
      </c>
      <c r="C44" s="2" t="s">
        <v>239</v>
      </c>
      <c r="D44" s="2" t="s">
        <v>240</v>
      </c>
      <c r="E44" s="3" t="s">
        <v>241</v>
      </c>
      <c r="F44" s="2" t="s">
        <v>242</v>
      </c>
      <c r="G44" s="2" t="s">
        <v>89</v>
      </c>
      <c r="H44" s="2" t="s">
        <v>112</v>
      </c>
      <c r="I44" s="2" t="s">
        <v>243</v>
      </c>
      <c r="J44" s="2"/>
      <c r="K44" s="2" t="s">
        <v>20</v>
      </c>
    </row>
    <row r="45" spans="1:11" ht="26.4" x14ac:dyDescent="0.3">
      <c r="A45" s="4">
        <v>44</v>
      </c>
      <c r="B45" s="4" t="s">
        <v>11</v>
      </c>
      <c r="C45" s="4" t="s">
        <v>244</v>
      </c>
      <c r="D45" s="4" t="s">
        <v>245</v>
      </c>
      <c r="E45" s="5" t="s">
        <v>246</v>
      </c>
      <c r="F45" s="4" t="s">
        <v>247</v>
      </c>
      <c r="G45" s="4" t="s">
        <v>89</v>
      </c>
      <c r="H45" s="4" t="s">
        <v>112</v>
      </c>
      <c r="I45" s="4" t="s">
        <v>248</v>
      </c>
      <c r="J45" s="4"/>
      <c r="K45" s="4" t="s">
        <v>20</v>
      </c>
    </row>
    <row r="46" spans="1:11" x14ac:dyDescent="0.3">
      <c r="A46" s="2">
        <v>45</v>
      </c>
      <c r="B46" s="2" t="s">
        <v>11</v>
      </c>
      <c r="C46" s="2" t="s">
        <v>249</v>
      </c>
      <c r="D46" s="2" t="s">
        <v>250</v>
      </c>
      <c r="E46" s="3" t="s">
        <v>251</v>
      </c>
      <c r="F46" s="2" t="s">
        <v>252</v>
      </c>
      <c r="G46" s="2" t="s">
        <v>89</v>
      </c>
      <c r="H46" s="2" t="s">
        <v>112</v>
      </c>
      <c r="I46" s="2" t="s">
        <v>253</v>
      </c>
      <c r="J46" s="2"/>
      <c r="K46" s="2" t="s">
        <v>20</v>
      </c>
    </row>
    <row r="47" spans="1:11" x14ac:dyDescent="0.3">
      <c r="A47" s="4">
        <v>46</v>
      </c>
      <c r="B47" s="4" t="s">
        <v>11</v>
      </c>
      <c r="C47" s="4" t="s">
        <v>254</v>
      </c>
      <c r="D47" s="4" t="s">
        <v>255</v>
      </c>
      <c r="E47" s="5" t="s">
        <v>256</v>
      </c>
      <c r="F47" s="4" t="s">
        <v>257</v>
      </c>
      <c r="G47" s="4" t="s">
        <v>89</v>
      </c>
      <c r="H47" s="4" t="s">
        <v>112</v>
      </c>
      <c r="I47" s="4" t="s">
        <v>258</v>
      </c>
      <c r="J47" s="4"/>
      <c r="K47" s="4" t="s">
        <v>20</v>
      </c>
    </row>
    <row r="48" spans="1:11" x14ac:dyDescent="0.3">
      <c r="A48" s="2">
        <v>47</v>
      </c>
      <c r="B48" s="2" t="s">
        <v>11</v>
      </c>
      <c r="C48" s="2" t="s">
        <v>259</v>
      </c>
      <c r="D48" s="2" t="s">
        <v>260</v>
      </c>
      <c r="E48" s="3" t="s">
        <v>261</v>
      </c>
      <c r="F48" s="2" t="s">
        <v>262</v>
      </c>
      <c r="G48" s="2" t="s">
        <v>44</v>
      </c>
      <c r="H48" s="2" t="s">
        <v>31</v>
      </c>
      <c r="I48" s="2" t="s">
        <v>263</v>
      </c>
      <c r="J48" s="2"/>
      <c r="K48" s="2" t="s">
        <v>20</v>
      </c>
    </row>
    <row r="49" spans="1:11" ht="26.4" x14ac:dyDescent="0.3">
      <c r="A49" s="4">
        <v>48</v>
      </c>
      <c r="B49" s="4" t="s">
        <v>11</v>
      </c>
      <c r="C49" s="4" t="s">
        <v>264</v>
      </c>
      <c r="D49" s="4" t="s">
        <v>265</v>
      </c>
      <c r="E49" s="5" t="s">
        <v>266</v>
      </c>
      <c r="F49" s="4" t="s">
        <v>267</v>
      </c>
      <c r="G49" s="4" t="s">
        <v>268</v>
      </c>
      <c r="H49" s="4" t="s">
        <v>17</v>
      </c>
      <c r="I49" s="4" t="s">
        <v>18</v>
      </c>
      <c r="J49" s="4" t="s">
        <v>269</v>
      </c>
      <c r="K49" s="4" t="s">
        <v>20</v>
      </c>
    </row>
    <row r="50" spans="1:11" ht="26.4" x14ac:dyDescent="0.3">
      <c r="A50" s="2">
        <v>49</v>
      </c>
      <c r="B50" s="2" t="s">
        <v>11</v>
      </c>
      <c r="C50" s="2" t="s">
        <v>270</v>
      </c>
      <c r="D50" s="2" t="s">
        <v>271</v>
      </c>
      <c r="E50" s="3" t="s">
        <v>272</v>
      </c>
      <c r="F50" s="2" t="s">
        <v>273</v>
      </c>
      <c r="G50" s="2" t="s">
        <v>268</v>
      </c>
      <c r="H50" s="2" t="s">
        <v>31</v>
      </c>
      <c r="I50" s="2" t="s">
        <v>274</v>
      </c>
      <c r="J50" s="2"/>
      <c r="K50" s="2" t="s">
        <v>20</v>
      </c>
    </row>
    <row r="51" spans="1:11" x14ac:dyDescent="0.3">
      <c r="A51" s="4">
        <v>50</v>
      </c>
      <c r="B51" s="4" t="s">
        <v>11</v>
      </c>
      <c r="C51" s="4" t="s">
        <v>275</v>
      </c>
      <c r="D51" s="4" t="s">
        <v>276</v>
      </c>
      <c r="E51" s="5" t="s">
        <v>83</v>
      </c>
      <c r="F51" s="4" t="s">
        <v>277</v>
      </c>
      <c r="G51" s="4" t="s">
        <v>44</v>
      </c>
      <c r="H51" s="4" t="s">
        <v>17</v>
      </c>
      <c r="I51" s="4" t="s">
        <v>18</v>
      </c>
      <c r="J51" s="4"/>
      <c r="K51" s="4" t="s">
        <v>20</v>
      </c>
    </row>
    <row r="52" spans="1:11" ht="26.4" x14ac:dyDescent="0.3">
      <c r="A52" s="2">
        <v>51</v>
      </c>
      <c r="B52" s="2" t="s">
        <v>11</v>
      </c>
      <c r="C52" s="2" t="s">
        <v>278</v>
      </c>
      <c r="D52" s="2" t="s">
        <v>279</v>
      </c>
      <c r="E52" s="3" t="s">
        <v>280</v>
      </c>
      <c r="F52" s="2" t="s">
        <v>281</v>
      </c>
      <c r="G52" s="2" t="s">
        <v>16</v>
      </c>
      <c r="H52" s="2" t="s">
        <v>17</v>
      </c>
      <c r="I52" s="2" t="s">
        <v>18</v>
      </c>
      <c r="J52" s="2"/>
      <c r="K52" s="2" t="s">
        <v>20</v>
      </c>
    </row>
    <row r="53" spans="1:11" ht="26.4" x14ac:dyDescent="0.3">
      <c r="A53" s="4">
        <v>52</v>
      </c>
      <c r="B53" s="4" t="s">
        <v>11</v>
      </c>
      <c r="C53" s="4" t="s">
        <v>282</v>
      </c>
      <c r="D53" s="4" t="s">
        <v>283</v>
      </c>
      <c r="E53" s="5" t="s">
        <v>284</v>
      </c>
      <c r="F53" s="4" t="s">
        <v>285</v>
      </c>
      <c r="G53" s="4" t="s">
        <v>16</v>
      </c>
      <c r="H53" s="4" t="s">
        <v>17</v>
      </c>
      <c r="I53" s="4" t="s">
        <v>18</v>
      </c>
      <c r="J53" s="4"/>
      <c r="K53" s="4" t="s">
        <v>20</v>
      </c>
    </row>
    <row r="54" spans="1:11" ht="26.4" x14ac:dyDescent="0.3">
      <c r="A54" s="2">
        <v>53</v>
      </c>
      <c r="B54" s="2" t="s">
        <v>11</v>
      </c>
      <c r="C54" s="2" t="s">
        <v>286</v>
      </c>
      <c r="D54" s="2" t="s">
        <v>287</v>
      </c>
      <c r="E54" s="3" t="s">
        <v>288</v>
      </c>
      <c r="F54" s="2" t="s">
        <v>289</v>
      </c>
      <c r="G54" s="2" t="s">
        <v>16</v>
      </c>
      <c r="H54" s="2" t="s">
        <v>73</v>
      </c>
      <c r="I54" s="2" t="s">
        <v>290</v>
      </c>
      <c r="J54" s="2" t="s">
        <v>291</v>
      </c>
      <c r="K54" s="2" t="s">
        <v>20</v>
      </c>
    </row>
    <row r="55" spans="1:11" ht="26.4" x14ac:dyDescent="0.3">
      <c r="A55" s="4">
        <v>54</v>
      </c>
      <c r="B55" s="4" t="s">
        <v>11</v>
      </c>
      <c r="C55" s="4" t="s">
        <v>292</v>
      </c>
      <c r="D55" s="4" t="s">
        <v>293</v>
      </c>
      <c r="E55" s="5" t="s">
        <v>294</v>
      </c>
      <c r="F55" s="4" t="s">
        <v>295</v>
      </c>
      <c r="G55" s="4" t="s">
        <v>16</v>
      </c>
      <c r="H55" s="4" t="s">
        <v>73</v>
      </c>
      <c r="I55" s="4" t="s">
        <v>296</v>
      </c>
      <c r="J55" s="4"/>
      <c r="K55" s="4" t="s">
        <v>20</v>
      </c>
    </row>
    <row r="56" spans="1:11" ht="26.4" x14ac:dyDescent="0.3">
      <c r="A56" s="2">
        <v>55</v>
      </c>
      <c r="B56" s="2" t="s">
        <v>11</v>
      </c>
      <c r="C56" s="2" t="s">
        <v>297</v>
      </c>
      <c r="D56" s="2" t="s">
        <v>298</v>
      </c>
      <c r="E56" s="3" t="s">
        <v>299</v>
      </c>
      <c r="F56" s="2" t="s">
        <v>300</v>
      </c>
      <c r="G56" s="2" t="s">
        <v>16</v>
      </c>
      <c r="H56" s="2" t="s">
        <v>73</v>
      </c>
      <c r="I56" s="2" t="s">
        <v>301</v>
      </c>
      <c r="J56" s="2"/>
      <c r="K56" s="2" t="s">
        <v>20</v>
      </c>
    </row>
    <row r="57" spans="1:11" ht="26.4" x14ac:dyDescent="0.3">
      <c r="A57" s="4">
        <v>56</v>
      </c>
      <c r="B57" s="4" t="s">
        <v>11</v>
      </c>
      <c r="C57" s="4" t="s">
        <v>302</v>
      </c>
      <c r="D57" s="4" t="s">
        <v>303</v>
      </c>
      <c r="E57" s="5" t="s">
        <v>304</v>
      </c>
      <c r="F57" s="4" t="s">
        <v>305</v>
      </c>
      <c r="G57" s="4" t="s">
        <v>16</v>
      </c>
      <c r="H57" s="4" t="s">
        <v>73</v>
      </c>
      <c r="I57" s="4" t="s">
        <v>306</v>
      </c>
      <c r="J57" s="4"/>
      <c r="K57" s="4" t="s">
        <v>20</v>
      </c>
    </row>
    <row r="58" spans="1:11" x14ac:dyDescent="0.3">
      <c r="A58" s="2">
        <v>57</v>
      </c>
      <c r="B58" s="2" t="s">
        <v>11</v>
      </c>
      <c r="C58" s="2" t="s">
        <v>307</v>
      </c>
      <c r="D58" s="2" t="s">
        <v>308</v>
      </c>
      <c r="E58" s="3" t="s">
        <v>309</v>
      </c>
      <c r="F58" s="2" t="s">
        <v>310</v>
      </c>
      <c r="G58" s="2" t="s">
        <v>44</v>
      </c>
      <c r="H58" s="2" t="s">
        <v>31</v>
      </c>
      <c r="I58" s="2" t="s">
        <v>311</v>
      </c>
      <c r="J58" s="2"/>
      <c r="K58" s="2" t="s">
        <v>20</v>
      </c>
    </row>
    <row r="59" spans="1:11" ht="26.4" x14ac:dyDescent="0.3">
      <c r="A59" s="4">
        <v>58</v>
      </c>
      <c r="B59" s="4" t="s">
        <v>11</v>
      </c>
      <c r="C59" s="4" t="s">
        <v>312</v>
      </c>
      <c r="D59" s="4" t="s">
        <v>313</v>
      </c>
      <c r="E59" s="5" t="s">
        <v>314</v>
      </c>
      <c r="F59" s="4" t="s">
        <v>315</v>
      </c>
      <c r="G59" s="4" t="s">
        <v>16</v>
      </c>
      <c r="H59" s="4" t="s">
        <v>73</v>
      </c>
      <c r="I59" s="4" t="s">
        <v>316</v>
      </c>
      <c r="J59" s="4"/>
      <c r="K59" s="4" t="s">
        <v>20</v>
      </c>
    </row>
    <row r="60" spans="1:11" ht="26.4" x14ac:dyDescent="0.3">
      <c r="A60" s="2">
        <v>59</v>
      </c>
      <c r="B60" s="2" t="s">
        <v>11</v>
      </c>
      <c r="C60" s="2" t="s">
        <v>317</v>
      </c>
      <c r="D60" s="2" t="s">
        <v>318</v>
      </c>
      <c r="E60" s="3" t="s">
        <v>319</v>
      </c>
      <c r="F60" s="2" t="s">
        <v>320</v>
      </c>
      <c r="G60" s="2" t="s">
        <v>268</v>
      </c>
      <c r="H60" s="2" t="s">
        <v>31</v>
      </c>
      <c r="I60" s="2" t="s">
        <v>321</v>
      </c>
      <c r="J60" s="2"/>
      <c r="K60" s="2" t="s">
        <v>20</v>
      </c>
    </row>
    <row r="61" spans="1:11" ht="26.4" x14ac:dyDescent="0.3">
      <c r="A61" s="4">
        <v>60</v>
      </c>
      <c r="B61" s="4" t="s">
        <v>11</v>
      </c>
      <c r="C61" s="4" t="s">
        <v>322</v>
      </c>
      <c r="D61" s="4" t="s">
        <v>323</v>
      </c>
      <c r="E61" s="5" t="s">
        <v>324</v>
      </c>
      <c r="F61" s="4" t="s">
        <v>325</v>
      </c>
      <c r="G61" s="4" t="s">
        <v>268</v>
      </c>
      <c r="H61" s="4" t="s">
        <v>17</v>
      </c>
      <c r="I61" s="4" t="s">
        <v>18</v>
      </c>
      <c r="J61" s="4"/>
      <c r="K61" s="4" t="s">
        <v>20</v>
      </c>
    </row>
    <row r="62" spans="1:11" ht="26.4" x14ac:dyDescent="0.3">
      <c r="A62" s="2">
        <v>61</v>
      </c>
      <c r="B62" s="2" t="s">
        <v>326</v>
      </c>
      <c r="C62" s="2" t="s">
        <v>76</v>
      </c>
      <c r="D62" s="2" t="s">
        <v>327</v>
      </c>
      <c r="E62" s="3" t="s">
        <v>328</v>
      </c>
      <c r="F62" s="2" t="s">
        <v>329</v>
      </c>
      <c r="G62" s="2" t="s">
        <v>268</v>
      </c>
      <c r="H62" s="2" t="s">
        <v>38</v>
      </c>
      <c r="I62" s="2" t="s">
        <v>330</v>
      </c>
      <c r="J62" s="2" t="s">
        <v>331</v>
      </c>
      <c r="K62" s="2" t="s">
        <v>20</v>
      </c>
    </row>
    <row r="63" spans="1:11" ht="26.4" x14ac:dyDescent="0.3">
      <c r="A63" s="4">
        <v>62</v>
      </c>
      <c r="B63" s="4" t="s">
        <v>326</v>
      </c>
      <c r="C63" s="4" t="s">
        <v>81</v>
      </c>
      <c r="D63" s="4" t="s">
        <v>265</v>
      </c>
      <c r="E63" s="5" t="s">
        <v>332</v>
      </c>
      <c r="F63" s="4" t="s">
        <v>333</v>
      </c>
      <c r="G63" s="4" t="s">
        <v>268</v>
      </c>
      <c r="H63" s="4" t="s">
        <v>31</v>
      </c>
      <c r="I63" s="4" t="s">
        <v>334</v>
      </c>
      <c r="J63" s="4"/>
      <c r="K63" s="4" t="s">
        <v>20</v>
      </c>
    </row>
    <row r="64" spans="1:11" x14ac:dyDescent="0.3">
      <c r="A64" s="2">
        <v>63</v>
      </c>
      <c r="B64" s="2" t="s">
        <v>326</v>
      </c>
      <c r="C64" s="2" t="s">
        <v>335</v>
      </c>
      <c r="D64" s="2" t="s">
        <v>271</v>
      </c>
      <c r="E64" s="3" t="s">
        <v>336</v>
      </c>
      <c r="F64" s="2" t="s">
        <v>337</v>
      </c>
      <c r="G64" s="2" t="s">
        <v>268</v>
      </c>
      <c r="H64" s="2" t="s">
        <v>31</v>
      </c>
      <c r="I64" s="2" t="s">
        <v>338</v>
      </c>
      <c r="J64" s="2"/>
      <c r="K64" s="2" t="s">
        <v>20</v>
      </c>
    </row>
    <row r="65" spans="1:11" ht="26.4" x14ac:dyDescent="0.3">
      <c r="A65" s="4">
        <v>64</v>
      </c>
      <c r="B65" s="4" t="s">
        <v>326</v>
      </c>
      <c r="C65" s="4" t="s">
        <v>125</v>
      </c>
      <c r="D65" s="4" t="s">
        <v>339</v>
      </c>
      <c r="E65" s="5" t="s">
        <v>340</v>
      </c>
      <c r="F65" s="4" t="s">
        <v>341</v>
      </c>
      <c r="G65" s="4" t="s">
        <v>16</v>
      </c>
      <c r="H65" s="4" t="s">
        <v>73</v>
      </c>
      <c r="I65" s="4" t="s">
        <v>342</v>
      </c>
      <c r="J65" s="4" t="s">
        <v>343</v>
      </c>
      <c r="K65" s="4" t="s">
        <v>20</v>
      </c>
    </row>
    <row r="66" spans="1:11" ht="26.4" x14ac:dyDescent="0.3">
      <c r="A66" s="2">
        <v>65</v>
      </c>
      <c r="B66" s="2" t="s">
        <v>326</v>
      </c>
      <c r="C66" s="2" t="s">
        <v>130</v>
      </c>
      <c r="D66" s="2" t="s">
        <v>77</v>
      </c>
      <c r="E66" s="3" t="s">
        <v>344</v>
      </c>
      <c r="F66" s="2" t="s">
        <v>345</v>
      </c>
      <c r="G66" s="2" t="s">
        <v>16</v>
      </c>
      <c r="H66" s="2" t="s">
        <v>73</v>
      </c>
      <c r="I66" s="2" t="s">
        <v>346</v>
      </c>
      <c r="J66" s="2"/>
      <c r="K66" s="2" t="s">
        <v>20</v>
      </c>
    </row>
    <row r="67" spans="1:11" ht="26.4" x14ac:dyDescent="0.3">
      <c r="A67" s="4">
        <v>66</v>
      </c>
      <c r="B67" s="4" t="s">
        <v>326</v>
      </c>
      <c r="C67" s="4" t="s">
        <v>136</v>
      </c>
      <c r="D67" s="4" t="s">
        <v>298</v>
      </c>
      <c r="E67" s="5" t="s">
        <v>347</v>
      </c>
      <c r="F67" s="4" t="s">
        <v>348</v>
      </c>
      <c r="G67" s="4" t="s">
        <v>16</v>
      </c>
      <c r="H67" s="4" t="s">
        <v>73</v>
      </c>
      <c r="I67" s="4" t="s">
        <v>349</v>
      </c>
      <c r="J67" s="4"/>
      <c r="K67" s="4" t="s">
        <v>20</v>
      </c>
    </row>
    <row r="68" spans="1:11" ht="26.4" x14ac:dyDescent="0.3">
      <c r="A68" s="2">
        <v>67</v>
      </c>
      <c r="B68" s="2" t="s">
        <v>326</v>
      </c>
      <c r="C68" s="2" t="s">
        <v>141</v>
      </c>
      <c r="D68" s="2" t="s">
        <v>303</v>
      </c>
      <c r="E68" s="3" t="s">
        <v>350</v>
      </c>
      <c r="F68" s="2" t="s">
        <v>351</v>
      </c>
      <c r="G68" s="2" t="s">
        <v>16</v>
      </c>
      <c r="H68" s="2" t="s">
        <v>73</v>
      </c>
      <c r="I68" s="2" t="s">
        <v>352</v>
      </c>
      <c r="J68" s="2" t="s">
        <v>353</v>
      </c>
      <c r="K68" s="2" t="s">
        <v>20</v>
      </c>
    </row>
    <row r="69" spans="1:11" x14ac:dyDescent="0.3">
      <c r="A69" s="4">
        <v>68</v>
      </c>
      <c r="B69" s="4" t="s">
        <v>326</v>
      </c>
      <c r="C69" s="4" t="s">
        <v>146</v>
      </c>
      <c r="D69" s="4" t="s">
        <v>308</v>
      </c>
      <c r="E69" s="5" t="s">
        <v>354</v>
      </c>
      <c r="F69" s="4" t="s">
        <v>355</v>
      </c>
      <c r="G69" s="4" t="s">
        <v>44</v>
      </c>
      <c r="H69" s="4" t="s">
        <v>31</v>
      </c>
      <c r="I69" s="4" t="s">
        <v>356</v>
      </c>
      <c r="J69" s="4"/>
      <c r="K69" s="4" t="s">
        <v>20</v>
      </c>
    </row>
    <row r="70" spans="1:11" x14ac:dyDescent="0.3">
      <c r="A70" s="2">
        <v>69</v>
      </c>
      <c r="B70" s="2" t="s">
        <v>326</v>
      </c>
      <c r="C70" s="2" t="s">
        <v>151</v>
      </c>
      <c r="D70" s="2" t="s">
        <v>357</v>
      </c>
      <c r="E70" s="3" t="s">
        <v>358</v>
      </c>
      <c r="F70" s="2" t="s">
        <v>359</v>
      </c>
      <c r="G70" s="2" t="s">
        <v>37</v>
      </c>
      <c r="H70" s="2" t="s">
        <v>38</v>
      </c>
      <c r="I70" s="2" t="s">
        <v>360</v>
      </c>
      <c r="J70" s="2"/>
      <c r="K70" s="2" t="s">
        <v>20</v>
      </c>
    </row>
    <row r="71" spans="1:11" ht="36" x14ac:dyDescent="0.3">
      <c r="A71" s="4">
        <v>70</v>
      </c>
      <c r="B71" s="4" t="s">
        <v>326</v>
      </c>
      <c r="C71" s="4" t="s">
        <v>361</v>
      </c>
      <c r="D71" s="4" t="s">
        <v>362</v>
      </c>
      <c r="E71" s="5" t="s">
        <v>363</v>
      </c>
      <c r="F71" s="4" t="s">
        <v>364</v>
      </c>
      <c r="G71" s="4" t="s">
        <v>16</v>
      </c>
      <c r="H71" s="4" t="s">
        <v>73</v>
      </c>
      <c r="I71" s="4" t="s">
        <v>365</v>
      </c>
      <c r="J71" s="4" t="s">
        <v>366</v>
      </c>
      <c r="K71" s="4" t="s">
        <v>20</v>
      </c>
    </row>
    <row r="72" spans="1:11" ht="26.4" x14ac:dyDescent="0.3">
      <c r="A72" s="2">
        <v>71</v>
      </c>
      <c r="B72" s="2" t="s">
        <v>367</v>
      </c>
      <c r="C72" s="2" t="s">
        <v>368</v>
      </c>
      <c r="D72" s="2" t="s">
        <v>369</v>
      </c>
      <c r="E72" s="3" t="s">
        <v>370</v>
      </c>
      <c r="F72" s="2" t="s">
        <v>371</v>
      </c>
      <c r="G72" s="2" t="s">
        <v>372</v>
      </c>
      <c r="H72" s="2" t="s">
        <v>31</v>
      </c>
      <c r="I72" s="2" t="s">
        <v>373</v>
      </c>
      <c r="J72" s="2" t="s">
        <v>374</v>
      </c>
      <c r="K72" s="2" t="s">
        <v>20</v>
      </c>
    </row>
    <row r="73" spans="1:11" ht="26.4" x14ac:dyDescent="0.3">
      <c r="A73" s="4">
        <v>72</v>
      </c>
      <c r="B73" s="4" t="s">
        <v>367</v>
      </c>
      <c r="C73" s="4" t="s">
        <v>375</v>
      </c>
      <c r="D73" s="4" t="s">
        <v>376</v>
      </c>
      <c r="E73" s="5" t="s">
        <v>377</v>
      </c>
      <c r="F73" s="4" t="s">
        <v>378</v>
      </c>
      <c r="G73" s="4" t="s">
        <v>372</v>
      </c>
      <c r="H73" s="4" t="s">
        <v>31</v>
      </c>
      <c r="I73" s="4" t="s">
        <v>379</v>
      </c>
      <c r="J73" s="4" t="s">
        <v>380</v>
      </c>
      <c r="K73" s="4" t="s">
        <v>20</v>
      </c>
    </row>
    <row r="74" spans="1:11" ht="24" x14ac:dyDescent="0.3">
      <c r="A74" s="2">
        <v>73</v>
      </c>
      <c r="B74" s="2" t="s">
        <v>367</v>
      </c>
      <c r="C74" s="2" t="s">
        <v>381</v>
      </c>
      <c r="D74" s="2" t="s">
        <v>382</v>
      </c>
      <c r="E74" s="3" t="s">
        <v>383</v>
      </c>
      <c r="F74" s="2" t="s">
        <v>384</v>
      </c>
      <c r="G74" s="2" t="s">
        <v>372</v>
      </c>
      <c r="H74" s="2" t="s">
        <v>31</v>
      </c>
      <c r="I74" s="2" t="s">
        <v>385</v>
      </c>
      <c r="J74" s="2"/>
      <c r="K74" s="2" t="s">
        <v>20</v>
      </c>
    </row>
    <row r="75" spans="1:11" ht="24" x14ac:dyDescent="0.3">
      <c r="A75" s="4">
        <v>74</v>
      </c>
      <c r="B75" s="4" t="s">
        <v>367</v>
      </c>
      <c r="C75" s="4" t="s">
        <v>26</v>
      </c>
      <c r="D75" s="4" t="s">
        <v>386</v>
      </c>
      <c r="E75" s="5" t="s">
        <v>387</v>
      </c>
      <c r="F75" s="4" t="s">
        <v>388</v>
      </c>
      <c r="G75" s="4" t="s">
        <v>372</v>
      </c>
      <c r="H75" s="4" t="s">
        <v>31</v>
      </c>
      <c r="I75" s="4" t="s">
        <v>389</v>
      </c>
      <c r="J75" s="4"/>
      <c r="K75" s="4" t="s">
        <v>20</v>
      </c>
    </row>
    <row r="76" spans="1:11" ht="39.6" x14ac:dyDescent="0.3">
      <c r="A76" s="2">
        <v>75</v>
      </c>
      <c r="B76" s="2" t="s">
        <v>367</v>
      </c>
      <c r="C76" s="2" t="s">
        <v>390</v>
      </c>
      <c r="D76" s="2" t="s">
        <v>391</v>
      </c>
      <c r="E76" s="3" t="s">
        <v>392</v>
      </c>
      <c r="F76" s="2" t="s">
        <v>393</v>
      </c>
      <c r="G76" s="2" t="s">
        <v>372</v>
      </c>
      <c r="H76" s="2" t="s">
        <v>31</v>
      </c>
      <c r="I76" s="2" t="s">
        <v>394</v>
      </c>
      <c r="J76" s="2"/>
      <c r="K76" s="2" t="s">
        <v>20</v>
      </c>
    </row>
    <row r="77" spans="1:11" ht="26.4" x14ac:dyDescent="0.3">
      <c r="A77" s="4">
        <v>76</v>
      </c>
      <c r="B77" s="4" t="s">
        <v>367</v>
      </c>
      <c r="C77" s="4" t="s">
        <v>395</v>
      </c>
      <c r="D77" s="4" t="s">
        <v>396</v>
      </c>
      <c r="E77" s="5" t="s">
        <v>397</v>
      </c>
      <c r="F77" s="4" t="s">
        <v>398</v>
      </c>
      <c r="G77" s="4" t="s">
        <v>372</v>
      </c>
      <c r="H77" s="4" t="s">
        <v>31</v>
      </c>
      <c r="I77" s="4" t="s">
        <v>399</v>
      </c>
      <c r="J77" s="4" t="s">
        <v>400</v>
      </c>
      <c r="K77" s="4" t="s">
        <v>20</v>
      </c>
    </row>
    <row r="78" spans="1:11" ht="26.4" x14ac:dyDescent="0.3">
      <c r="A78" s="2">
        <v>77</v>
      </c>
      <c r="B78" s="2" t="s">
        <v>367</v>
      </c>
      <c r="C78" s="2" t="s">
        <v>401</v>
      </c>
      <c r="D78" s="2" t="s">
        <v>402</v>
      </c>
      <c r="E78" s="3" t="s">
        <v>403</v>
      </c>
      <c r="F78" s="2" t="s">
        <v>404</v>
      </c>
      <c r="G78" s="2" t="s">
        <v>372</v>
      </c>
      <c r="H78" s="2" t="s">
        <v>31</v>
      </c>
      <c r="I78" s="2" t="s">
        <v>373</v>
      </c>
      <c r="J78" s="2" t="s">
        <v>405</v>
      </c>
      <c r="K78" s="2" t="s">
        <v>20</v>
      </c>
    </row>
    <row r="79" spans="1:11" ht="26.4" x14ac:dyDescent="0.3">
      <c r="A79" s="4">
        <v>78</v>
      </c>
      <c r="B79" s="4" t="s">
        <v>367</v>
      </c>
      <c r="C79" s="4" t="s">
        <v>406</v>
      </c>
      <c r="D79" s="4" t="s">
        <v>407</v>
      </c>
      <c r="E79" s="5" t="s">
        <v>408</v>
      </c>
      <c r="F79" s="4" t="s">
        <v>409</v>
      </c>
      <c r="G79" s="4" t="s">
        <v>372</v>
      </c>
      <c r="H79" s="4" t="s">
        <v>31</v>
      </c>
      <c r="I79" s="4" t="s">
        <v>391</v>
      </c>
      <c r="J79" s="4"/>
      <c r="K79" s="4" t="s">
        <v>20</v>
      </c>
    </row>
    <row r="80" spans="1:11" ht="26.4" x14ac:dyDescent="0.3">
      <c r="A80" s="2">
        <v>79</v>
      </c>
      <c r="B80" s="2" t="s">
        <v>410</v>
      </c>
      <c r="C80" s="2" t="s">
        <v>411</v>
      </c>
      <c r="D80" s="2" t="s">
        <v>412</v>
      </c>
      <c r="E80" s="3" t="s">
        <v>413</v>
      </c>
      <c r="F80" s="2" t="s">
        <v>414</v>
      </c>
      <c r="G80" s="2" t="s">
        <v>89</v>
      </c>
      <c r="H80" s="2" t="s">
        <v>17</v>
      </c>
      <c r="I80" s="2" t="s">
        <v>415</v>
      </c>
      <c r="J80" s="2" t="s">
        <v>416</v>
      </c>
      <c r="K80" s="2" t="s">
        <v>20</v>
      </c>
    </row>
    <row r="81" spans="1:11" x14ac:dyDescent="0.3">
      <c r="A81" s="4">
        <v>80</v>
      </c>
      <c r="B81" s="4" t="s">
        <v>410</v>
      </c>
      <c r="C81" s="4" t="s">
        <v>417</v>
      </c>
      <c r="D81" s="4" t="s">
        <v>418</v>
      </c>
      <c r="E81" s="5" t="s">
        <v>419</v>
      </c>
      <c r="F81" s="4" t="s">
        <v>420</v>
      </c>
      <c r="G81" s="4" t="s">
        <v>372</v>
      </c>
      <c r="H81" s="4" t="s">
        <v>31</v>
      </c>
      <c r="I81" s="4" t="s">
        <v>421</v>
      </c>
      <c r="J81" s="4"/>
      <c r="K81" s="4" t="s">
        <v>20</v>
      </c>
    </row>
    <row r="82" spans="1:11" x14ac:dyDescent="0.3">
      <c r="A82" s="2">
        <v>81</v>
      </c>
      <c r="B82" s="2" t="s">
        <v>410</v>
      </c>
      <c r="C82" s="2" t="s">
        <v>422</v>
      </c>
      <c r="D82" s="2" t="s">
        <v>423</v>
      </c>
      <c r="E82" s="3" t="s">
        <v>424</v>
      </c>
      <c r="F82" s="2" t="s">
        <v>425</v>
      </c>
      <c r="G82" s="2" t="s">
        <v>372</v>
      </c>
      <c r="H82" s="2" t="s">
        <v>31</v>
      </c>
      <c r="I82" s="2" t="s">
        <v>426</v>
      </c>
      <c r="J82" s="2"/>
      <c r="K82" s="2" t="s">
        <v>20</v>
      </c>
    </row>
    <row r="83" spans="1:11" x14ac:dyDescent="0.3">
      <c r="A83" s="4">
        <v>82</v>
      </c>
      <c r="B83" s="4" t="s">
        <v>410</v>
      </c>
      <c r="C83" s="4" t="s">
        <v>427</v>
      </c>
      <c r="D83" s="4" t="s">
        <v>428</v>
      </c>
      <c r="E83" s="5" t="s">
        <v>429</v>
      </c>
      <c r="F83" s="4" t="s">
        <v>430</v>
      </c>
      <c r="G83" s="4" t="s">
        <v>372</v>
      </c>
      <c r="H83" s="4" t="s">
        <v>31</v>
      </c>
      <c r="I83" s="4" t="s">
        <v>431</v>
      </c>
      <c r="J83" s="4"/>
      <c r="K83" s="4" t="s">
        <v>20</v>
      </c>
    </row>
    <row r="84" spans="1:11" ht="26.4" x14ac:dyDescent="0.3">
      <c r="A84" s="2">
        <v>83</v>
      </c>
      <c r="B84" s="2" t="s">
        <v>410</v>
      </c>
      <c r="C84" s="2" t="s">
        <v>432</v>
      </c>
      <c r="D84" s="2" t="s">
        <v>433</v>
      </c>
      <c r="E84" s="3" t="s">
        <v>434</v>
      </c>
      <c r="F84" s="2" t="s">
        <v>435</v>
      </c>
      <c r="G84" s="2" t="s">
        <v>372</v>
      </c>
      <c r="H84" s="2" t="s">
        <v>31</v>
      </c>
      <c r="I84" s="2" t="s">
        <v>436</v>
      </c>
      <c r="J84" s="2" t="s">
        <v>437</v>
      </c>
      <c r="K84" s="2" t="s">
        <v>20</v>
      </c>
    </row>
    <row r="85" spans="1:11" ht="26.4" x14ac:dyDescent="0.3">
      <c r="A85" s="4">
        <v>84</v>
      </c>
      <c r="B85" s="4" t="s">
        <v>410</v>
      </c>
      <c r="C85" s="4" t="s">
        <v>438</v>
      </c>
      <c r="D85" s="4" t="s">
        <v>439</v>
      </c>
      <c r="E85" s="5" t="s">
        <v>440</v>
      </c>
      <c r="F85" s="4" t="s">
        <v>441</v>
      </c>
      <c r="G85" s="4" t="s">
        <v>372</v>
      </c>
      <c r="H85" s="4" t="s">
        <v>31</v>
      </c>
      <c r="I85" s="4" t="s">
        <v>442</v>
      </c>
      <c r="J85" s="4"/>
      <c r="K85" s="4" t="s">
        <v>20</v>
      </c>
    </row>
    <row r="86" spans="1:11" x14ac:dyDescent="0.3">
      <c r="A86" s="2">
        <v>85</v>
      </c>
      <c r="B86" s="2" t="s">
        <v>410</v>
      </c>
      <c r="C86" s="2" t="s">
        <v>443</v>
      </c>
      <c r="D86" s="2" t="s">
        <v>444</v>
      </c>
      <c r="E86" s="3" t="s">
        <v>445</v>
      </c>
      <c r="F86" s="2" t="s">
        <v>446</v>
      </c>
      <c r="G86" s="2" t="s">
        <v>372</v>
      </c>
      <c r="H86" s="2" t="s">
        <v>31</v>
      </c>
      <c r="I86" s="2" t="s">
        <v>438</v>
      </c>
      <c r="J86" s="2"/>
      <c r="K86" s="2" t="s">
        <v>20</v>
      </c>
    </row>
    <row r="87" spans="1:11" x14ac:dyDescent="0.3">
      <c r="A87" s="4">
        <v>86</v>
      </c>
      <c r="B87" s="4" t="s">
        <v>410</v>
      </c>
      <c r="C87" s="4" t="s">
        <v>447</v>
      </c>
      <c r="D87" s="4" t="s">
        <v>448</v>
      </c>
      <c r="E87" s="5" t="s">
        <v>449</v>
      </c>
      <c r="F87" s="4" t="s">
        <v>450</v>
      </c>
      <c r="G87" s="4" t="s">
        <v>372</v>
      </c>
      <c r="H87" s="4" t="s">
        <v>31</v>
      </c>
      <c r="I87" s="4" t="s">
        <v>451</v>
      </c>
      <c r="J87" s="4"/>
      <c r="K87" s="4" t="s">
        <v>20</v>
      </c>
    </row>
    <row r="88" spans="1:11" ht="60" x14ac:dyDescent="0.3">
      <c r="A88" s="2">
        <v>87</v>
      </c>
      <c r="B88" s="2" t="s">
        <v>410</v>
      </c>
      <c r="C88" s="2" t="s">
        <v>452</v>
      </c>
      <c r="D88" s="2" t="s">
        <v>453</v>
      </c>
      <c r="E88" s="3" t="s">
        <v>454</v>
      </c>
      <c r="F88" s="2" t="s">
        <v>455</v>
      </c>
      <c r="G88" s="2" t="s">
        <v>30</v>
      </c>
      <c r="H88" s="2" t="s">
        <v>38</v>
      </c>
      <c r="I88" s="2" t="s">
        <v>456</v>
      </c>
      <c r="J88" s="2" t="s">
        <v>457</v>
      </c>
      <c r="K88" s="2" t="s">
        <v>20</v>
      </c>
    </row>
    <row r="89" spans="1:11" ht="26.4" x14ac:dyDescent="0.3">
      <c r="A89" s="4">
        <v>88</v>
      </c>
      <c r="B89" s="4" t="s">
        <v>410</v>
      </c>
      <c r="C89" s="4" t="s">
        <v>458</v>
      </c>
      <c r="D89" s="4" t="s">
        <v>459</v>
      </c>
      <c r="E89" s="5" t="s">
        <v>460</v>
      </c>
      <c r="F89" s="4" t="s">
        <v>461</v>
      </c>
      <c r="G89" s="4" t="s">
        <v>372</v>
      </c>
      <c r="H89" s="4" t="s">
        <v>31</v>
      </c>
      <c r="I89" s="4" t="s">
        <v>18</v>
      </c>
      <c r="J89" s="4" t="s">
        <v>462</v>
      </c>
      <c r="K89" s="4" t="s">
        <v>20</v>
      </c>
    </row>
    <row r="90" spans="1:11" ht="26.4" x14ac:dyDescent="0.3">
      <c r="A90" s="2">
        <v>89</v>
      </c>
      <c r="B90" s="2" t="s">
        <v>410</v>
      </c>
      <c r="C90" s="2" t="s">
        <v>463</v>
      </c>
      <c r="D90" s="2" t="s">
        <v>464</v>
      </c>
      <c r="E90" s="3" t="s">
        <v>465</v>
      </c>
      <c r="F90" s="2" t="s">
        <v>466</v>
      </c>
      <c r="G90" s="2" t="s">
        <v>372</v>
      </c>
      <c r="H90" s="2" t="s">
        <v>31</v>
      </c>
      <c r="I90" s="2" t="s">
        <v>467</v>
      </c>
      <c r="J90" s="2" t="s">
        <v>468</v>
      </c>
      <c r="K90" s="2" t="s">
        <v>20</v>
      </c>
    </row>
    <row r="91" spans="1:11" x14ac:dyDescent="0.3">
      <c r="A91" s="4">
        <v>90</v>
      </c>
      <c r="B91" s="4" t="s">
        <v>410</v>
      </c>
      <c r="C91" s="4" t="s">
        <v>469</v>
      </c>
      <c r="D91" s="4" t="s">
        <v>470</v>
      </c>
      <c r="E91" s="5" t="s">
        <v>471</v>
      </c>
      <c r="F91" s="4" t="s">
        <v>472</v>
      </c>
      <c r="G91" s="4" t="s">
        <v>372</v>
      </c>
      <c r="H91" s="4" t="s">
        <v>31</v>
      </c>
      <c r="I91" s="4" t="s">
        <v>473</v>
      </c>
      <c r="J91" s="4" t="s">
        <v>474</v>
      </c>
      <c r="K91" s="4" t="s">
        <v>20</v>
      </c>
    </row>
    <row r="92" spans="1:11" ht="26.4" x14ac:dyDescent="0.3">
      <c r="A92" s="2">
        <v>91</v>
      </c>
      <c r="B92" s="2" t="s">
        <v>475</v>
      </c>
      <c r="C92" s="2" t="s">
        <v>476</v>
      </c>
      <c r="D92" s="2" t="s">
        <v>477</v>
      </c>
      <c r="E92" s="3" t="s">
        <v>478</v>
      </c>
      <c r="F92" s="2" t="s">
        <v>479</v>
      </c>
      <c r="G92" s="2" t="s">
        <v>480</v>
      </c>
      <c r="H92" s="2" t="s">
        <v>98</v>
      </c>
      <c r="I92" s="2" t="s">
        <v>481</v>
      </c>
      <c r="J92" s="2"/>
      <c r="K92" s="2" t="s">
        <v>20</v>
      </c>
    </row>
    <row r="93" spans="1:11" x14ac:dyDescent="0.3">
      <c r="A93" s="4">
        <v>92</v>
      </c>
      <c r="B93" s="4" t="s">
        <v>475</v>
      </c>
      <c r="C93" s="4" t="s">
        <v>482</v>
      </c>
      <c r="D93" s="4" t="s">
        <v>483</v>
      </c>
      <c r="E93" s="5" t="s">
        <v>484</v>
      </c>
      <c r="F93" s="4" t="s">
        <v>485</v>
      </c>
      <c r="G93" s="4" t="s">
        <v>480</v>
      </c>
      <c r="H93" s="4" t="s">
        <v>98</v>
      </c>
      <c r="I93" s="4" t="s">
        <v>486</v>
      </c>
      <c r="J93" s="4"/>
      <c r="K93" s="4" t="s">
        <v>20</v>
      </c>
    </row>
    <row r="94" spans="1:11" x14ac:dyDescent="0.3">
      <c r="A94" s="2">
        <v>93</v>
      </c>
      <c r="B94" s="2" t="s">
        <v>475</v>
      </c>
      <c r="C94" s="2" t="s">
        <v>33</v>
      </c>
      <c r="D94" s="2" t="s">
        <v>487</v>
      </c>
      <c r="E94" s="3" t="s">
        <v>488</v>
      </c>
      <c r="F94" s="2" t="s">
        <v>489</v>
      </c>
      <c r="G94" s="2" t="s">
        <v>480</v>
      </c>
      <c r="H94" s="2" t="s">
        <v>98</v>
      </c>
      <c r="I94" s="2" t="s">
        <v>490</v>
      </c>
      <c r="J94" s="2" t="s">
        <v>491</v>
      </c>
      <c r="K94" s="2" t="s">
        <v>20</v>
      </c>
    </row>
    <row r="95" spans="1:11" ht="24" x14ac:dyDescent="0.3">
      <c r="A95" s="4">
        <v>94</v>
      </c>
      <c r="B95" s="4" t="s">
        <v>475</v>
      </c>
      <c r="C95" s="4" t="s">
        <v>40</v>
      </c>
      <c r="D95" s="4" t="s">
        <v>492</v>
      </c>
      <c r="E95" s="5" t="s">
        <v>493</v>
      </c>
      <c r="F95" s="4" t="s">
        <v>494</v>
      </c>
      <c r="G95" s="4" t="s">
        <v>480</v>
      </c>
      <c r="H95" s="4" t="s">
        <v>98</v>
      </c>
      <c r="I95" s="4" t="s">
        <v>410</v>
      </c>
      <c r="J95" s="4" t="s">
        <v>495</v>
      </c>
      <c r="K95" s="4" t="s">
        <v>20</v>
      </c>
    </row>
    <row r="96" spans="1:11" x14ac:dyDescent="0.3">
      <c r="A96" s="2">
        <v>95</v>
      </c>
      <c r="B96" s="2" t="s">
        <v>475</v>
      </c>
      <c r="C96" s="2" t="s">
        <v>46</v>
      </c>
      <c r="D96" s="2" t="s">
        <v>496</v>
      </c>
      <c r="E96" s="3" t="s">
        <v>497</v>
      </c>
      <c r="F96" s="2" t="s">
        <v>498</v>
      </c>
      <c r="G96" s="2" t="s">
        <v>480</v>
      </c>
      <c r="H96" s="2" t="s">
        <v>98</v>
      </c>
      <c r="I96" s="2" t="s">
        <v>499</v>
      </c>
      <c r="J96" s="2"/>
      <c r="K96" s="2" t="s">
        <v>20</v>
      </c>
    </row>
    <row r="97" spans="1:11" ht="24" x14ac:dyDescent="0.3">
      <c r="A97" s="4">
        <v>96</v>
      </c>
      <c r="B97" s="4" t="s">
        <v>475</v>
      </c>
      <c r="C97" s="4" t="s">
        <v>51</v>
      </c>
      <c r="D97" s="4" t="s">
        <v>500</v>
      </c>
      <c r="E97" s="5" t="s">
        <v>501</v>
      </c>
      <c r="F97" s="4" t="s">
        <v>502</v>
      </c>
      <c r="G97" s="4" t="s">
        <v>480</v>
      </c>
      <c r="H97" s="4" t="s">
        <v>98</v>
      </c>
      <c r="I97" s="4" t="s">
        <v>410</v>
      </c>
      <c r="J97" s="4" t="s">
        <v>503</v>
      </c>
      <c r="K97" s="4" t="s">
        <v>20</v>
      </c>
    </row>
    <row r="98" spans="1:11" x14ac:dyDescent="0.3">
      <c r="A98" s="2">
        <v>97</v>
      </c>
      <c r="B98" s="2" t="s">
        <v>475</v>
      </c>
      <c r="C98" s="2" t="s">
        <v>56</v>
      </c>
      <c r="D98" s="2" t="s">
        <v>504</v>
      </c>
      <c r="E98" s="3" t="s">
        <v>505</v>
      </c>
      <c r="F98" s="2" t="s">
        <v>506</v>
      </c>
      <c r="G98" s="2" t="s">
        <v>480</v>
      </c>
      <c r="H98" s="2" t="s">
        <v>98</v>
      </c>
      <c r="I98" s="2" t="s">
        <v>507</v>
      </c>
      <c r="J98" s="2"/>
      <c r="K98" s="2" t="s">
        <v>20</v>
      </c>
    </row>
    <row r="99" spans="1:11" ht="26.4" x14ac:dyDescent="0.3">
      <c r="A99" s="4">
        <v>98</v>
      </c>
      <c r="B99" s="4" t="s">
        <v>475</v>
      </c>
      <c r="C99" s="4" t="s">
        <v>61</v>
      </c>
      <c r="D99" s="4" t="s">
        <v>508</v>
      </c>
      <c r="E99" s="5" t="s">
        <v>509</v>
      </c>
      <c r="F99" s="4" t="s">
        <v>510</v>
      </c>
      <c r="G99" s="4" t="s">
        <v>268</v>
      </c>
      <c r="H99" s="4" t="s">
        <v>38</v>
      </c>
      <c r="I99" s="4" t="s">
        <v>511</v>
      </c>
      <c r="J99" s="4"/>
      <c r="K99" s="4" t="s">
        <v>20</v>
      </c>
    </row>
    <row r="100" spans="1:11" x14ac:dyDescent="0.3">
      <c r="A100" s="2">
        <v>99</v>
      </c>
      <c r="B100" s="2" t="s">
        <v>475</v>
      </c>
      <c r="C100" s="2" t="s">
        <v>66</v>
      </c>
      <c r="D100" s="2" t="s">
        <v>512</v>
      </c>
      <c r="E100" s="3" t="s">
        <v>513</v>
      </c>
      <c r="F100" s="2" t="s">
        <v>514</v>
      </c>
      <c r="G100" s="2" t="s">
        <v>480</v>
      </c>
      <c r="H100" s="2" t="s">
        <v>98</v>
      </c>
      <c r="I100" s="2" t="s">
        <v>515</v>
      </c>
      <c r="J100" s="2"/>
      <c r="K100" s="2" t="s">
        <v>20</v>
      </c>
    </row>
    <row r="101" spans="1:11" x14ac:dyDescent="0.3">
      <c r="A101" s="4">
        <v>100</v>
      </c>
      <c r="B101" s="4" t="s">
        <v>475</v>
      </c>
      <c r="C101" s="4" t="s">
        <v>70</v>
      </c>
      <c r="D101" s="4" t="s">
        <v>516</v>
      </c>
      <c r="E101" s="5" t="s">
        <v>517</v>
      </c>
      <c r="F101" s="4" t="s">
        <v>518</v>
      </c>
      <c r="G101" s="4" t="s">
        <v>268</v>
      </c>
      <c r="H101" s="4" t="s">
        <v>31</v>
      </c>
      <c r="I101" s="4" t="s">
        <v>519</v>
      </c>
      <c r="J101" s="4"/>
      <c r="K101" s="4" t="s">
        <v>20</v>
      </c>
    </row>
    <row r="102" spans="1:11" ht="24" x14ac:dyDescent="0.3">
      <c r="A102" s="2">
        <v>101</v>
      </c>
      <c r="B102" s="2" t="s">
        <v>475</v>
      </c>
      <c r="C102" s="2" t="s">
        <v>335</v>
      </c>
      <c r="D102" s="2" t="s">
        <v>520</v>
      </c>
      <c r="E102" s="3" t="s">
        <v>521</v>
      </c>
      <c r="F102" s="2" t="s">
        <v>522</v>
      </c>
      <c r="G102" s="2" t="s">
        <v>523</v>
      </c>
      <c r="H102" s="2" t="s">
        <v>38</v>
      </c>
      <c r="I102" s="2" t="s">
        <v>524</v>
      </c>
      <c r="J102" s="2" t="s">
        <v>525</v>
      </c>
      <c r="K102" s="2" t="s">
        <v>20</v>
      </c>
    </row>
    <row r="103" spans="1:11" x14ac:dyDescent="0.3">
      <c r="A103" s="4">
        <v>102</v>
      </c>
      <c r="B103" s="4" t="s">
        <v>475</v>
      </c>
      <c r="C103" s="4" t="s">
        <v>526</v>
      </c>
      <c r="D103" s="4" t="s">
        <v>527</v>
      </c>
      <c r="E103" s="5" t="s">
        <v>528</v>
      </c>
      <c r="F103" s="4" t="s">
        <v>529</v>
      </c>
      <c r="G103" s="4" t="s">
        <v>523</v>
      </c>
      <c r="H103" s="4" t="s">
        <v>98</v>
      </c>
      <c r="I103" s="4" t="s">
        <v>530</v>
      </c>
      <c r="J103" s="4"/>
      <c r="K103" s="4" t="s">
        <v>20</v>
      </c>
    </row>
    <row r="104" spans="1:11" ht="26.4" x14ac:dyDescent="0.3">
      <c r="A104" s="2">
        <v>103</v>
      </c>
      <c r="B104" s="2" t="s">
        <v>531</v>
      </c>
      <c r="C104" s="2" t="s">
        <v>532</v>
      </c>
      <c r="D104" s="2" t="s">
        <v>533</v>
      </c>
      <c r="E104" s="3" t="s">
        <v>534</v>
      </c>
      <c r="F104" s="2" t="s">
        <v>535</v>
      </c>
      <c r="G104" s="2" t="s">
        <v>480</v>
      </c>
      <c r="H104" s="2" t="s">
        <v>98</v>
      </c>
      <c r="I104" s="2" t="s">
        <v>536</v>
      </c>
      <c r="J104" s="2" t="s">
        <v>537</v>
      </c>
      <c r="K104" s="2" t="s">
        <v>20</v>
      </c>
    </row>
    <row r="105" spans="1:11" ht="24" x14ac:dyDescent="0.3">
      <c r="A105" s="4">
        <v>104</v>
      </c>
      <c r="B105" s="4" t="s">
        <v>531</v>
      </c>
      <c r="C105" s="4" t="s">
        <v>538</v>
      </c>
      <c r="D105" s="4" t="s">
        <v>539</v>
      </c>
      <c r="E105" s="5" t="s">
        <v>540</v>
      </c>
      <c r="F105" s="4" t="s">
        <v>541</v>
      </c>
      <c r="G105" s="4" t="s">
        <v>268</v>
      </c>
      <c r="H105" s="4" t="s">
        <v>38</v>
      </c>
      <c r="I105" s="4" t="s">
        <v>542</v>
      </c>
      <c r="J105" s="4"/>
      <c r="K105" s="4" t="s">
        <v>20</v>
      </c>
    </row>
    <row r="106" spans="1:11" ht="26.4" x14ac:dyDescent="0.3">
      <c r="A106" s="2">
        <v>105</v>
      </c>
      <c r="B106" s="2" t="s">
        <v>543</v>
      </c>
      <c r="C106" s="2" t="s">
        <v>544</v>
      </c>
      <c r="D106" s="2" t="s">
        <v>545</v>
      </c>
      <c r="E106" s="3" t="s">
        <v>546</v>
      </c>
      <c r="F106" s="2" t="s">
        <v>547</v>
      </c>
      <c r="G106" s="2" t="s">
        <v>480</v>
      </c>
      <c r="H106" s="2" t="s">
        <v>98</v>
      </c>
      <c r="I106" s="2" t="s">
        <v>548</v>
      </c>
      <c r="J106" s="2"/>
      <c r="K106" s="2" t="s">
        <v>20</v>
      </c>
    </row>
    <row r="107" spans="1:11" ht="26.4" x14ac:dyDescent="0.3">
      <c r="A107" s="4">
        <v>106</v>
      </c>
      <c r="B107" s="4" t="s">
        <v>543</v>
      </c>
      <c r="C107" s="4" t="s">
        <v>549</v>
      </c>
      <c r="D107" s="4" t="s">
        <v>550</v>
      </c>
      <c r="E107" s="5" t="s">
        <v>551</v>
      </c>
      <c r="F107" s="4" t="s">
        <v>552</v>
      </c>
      <c r="G107" s="4" t="s">
        <v>480</v>
      </c>
      <c r="H107" s="4" t="s">
        <v>98</v>
      </c>
      <c r="I107" s="4" t="s">
        <v>553</v>
      </c>
      <c r="J107" s="4"/>
      <c r="K107" s="4" t="s">
        <v>20</v>
      </c>
    </row>
    <row r="108" spans="1:11" ht="26.4" x14ac:dyDescent="0.3">
      <c r="A108" s="2">
        <v>107</v>
      </c>
      <c r="B108" s="2" t="s">
        <v>543</v>
      </c>
      <c r="C108" s="2" t="s">
        <v>554</v>
      </c>
      <c r="D108" s="2" t="s">
        <v>555</v>
      </c>
      <c r="E108" s="3" t="s">
        <v>556</v>
      </c>
      <c r="F108" s="2" t="s">
        <v>557</v>
      </c>
      <c r="G108" s="2" t="s">
        <v>480</v>
      </c>
      <c r="H108" s="2" t="s">
        <v>31</v>
      </c>
      <c r="I108" s="2" t="s">
        <v>558</v>
      </c>
      <c r="J108" s="2" t="s">
        <v>559</v>
      </c>
      <c r="K108" s="2" t="s">
        <v>20</v>
      </c>
    </row>
    <row r="109" spans="1:11" ht="26.4" x14ac:dyDescent="0.3">
      <c r="A109" s="4">
        <v>108</v>
      </c>
      <c r="B109" s="4" t="s">
        <v>543</v>
      </c>
      <c r="C109" s="4" t="s">
        <v>560</v>
      </c>
      <c r="D109" s="4" t="s">
        <v>561</v>
      </c>
      <c r="E109" s="5" t="s">
        <v>562</v>
      </c>
      <c r="F109" s="4" t="s">
        <v>563</v>
      </c>
      <c r="G109" s="4" t="s">
        <v>480</v>
      </c>
      <c r="H109" s="4" t="s">
        <v>90</v>
      </c>
      <c r="I109" s="4" t="s">
        <v>564</v>
      </c>
      <c r="J109" s="4" t="s">
        <v>565</v>
      </c>
      <c r="K109" s="4" t="s">
        <v>20</v>
      </c>
    </row>
    <row r="110" spans="1:11" ht="26.4" x14ac:dyDescent="0.3">
      <c r="A110" s="2">
        <v>109</v>
      </c>
      <c r="B110" s="2" t="s">
        <v>543</v>
      </c>
      <c r="C110" s="2" t="s">
        <v>566</v>
      </c>
      <c r="D110" s="2" t="s">
        <v>567</v>
      </c>
      <c r="E110" s="3" t="s">
        <v>568</v>
      </c>
      <c r="F110" s="2" t="s">
        <v>569</v>
      </c>
      <c r="G110" s="2" t="s">
        <v>480</v>
      </c>
      <c r="H110" s="2" t="s">
        <v>98</v>
      </c>
      <c r="I110" s="2" t="s">
        <v>570</v>
      </c>
      <c r="J110" s="2"/>
      <c r="K110" s="2" t="s">
        <v>20</v>
      </c>
    </row>
    <row r="111" spans="1:11" ht="26.4" x14ac:dyDescent="0.3">
      <c r="A111" s="4">
        <v>110</v>
      </c>
      <c r="B111" s="4" t="s">
        <v>543</v>
      </c>
      <c r="C111" s="4" t="s">
        <v>571</v>
      </c>
      <c r="D111" s="4" t="s">
        <v>572</v>
      </c>
      <c r="E111" s="5" t="s">
        <v>573</v>
      </c>
      <c r="F111" s="4" t="s">
        <v>574</v>
      </c>
      <c r="G111" s="4" t="s">
        <v>480</v>
      </c>
      <c r="H111" s="4" t="s">
        <v>98</v>
      </c>
      <c r="I111" s="4" t="s">
        <v>575</v>
      </c>
      <c r="J111" s="4"/>
      <c r="K111" s="4" t="s">
        <v>20</v>
      </c>
    </row>
    <row r="112" spans="1:11" x14ac:dyDescent="0.3">
      <c r="A112" s="2">
        <v>111</v>
      </c>
      <c r="B112" s="2" t="s">
        <v>543</v>
      </c>
      <c r="C112" s="2" t="s">
        <v>576</v>
      </c>
      <c r="D112" s="2" t="s">
        <v>577</v>
      </c>
      <c r="E112" s="3" t="s">
        <v>578</v>
      </c>
      <c r="F112" s="2" t="s">
        <v>579</v>
      </c>
      <c r="G112" s="2" t="s">
        <v>480</v>
      </c>
      <c r="H112" s="2" t="s">
        <v>98</v>
      </c>
      <c r="I112" s="2" t="s">
        <v>580</v>
      </c>
      <c r="J112" s="2"/>
      <c r="K112" s="2" t="s">
        <v>20</v>
      </c>
    </row>
    <row r="113" spans="1:11" ht="26.4" x14ac:dyDescent="0.3">
      <c r="A113" s="4">
        <v>112</v>
      </c>
      <c r="B113" s="4" t="s">
        <v>581</v>
      </c>
      <c r="C113" s="4" t="s">
        <v>582</v>
      </c>
      <c r="D113" s="4" t="s">
        <v>583</v>
      </c>
      <c r="E113" s="5" t="s">
        <v>584</v>
      </c>
      <c r="F113" s="4" t="s">
        <v>585</v>
      </c>
      <c r="G113" s="4" t="s">
        <v>586</v>
      </c>
      <c r="H113" s="4" t="s">
        <v>90</v>
      </c>
      <c r="I113" s="4" t="s">
        <v>587</v>
      </c>
      <c r="J113" s="4"/>
      <c r="K113" s="4" t="s">
        <v>20</v>
      </c>
    </row>
    <row r="114" spans="1:11" ht="26.4" x14ac:dyDescent="0.3">
      <c r="A114" s="2">
        <v>113</v>
      </c>
      <c r="B114" s="2" t="s">
        <v>581</v>
      </c>
      <c r="C114" s="2" t="s">
        <v>588</v>
      </c>
      <c r="D114" s="2" t="s">
        <v>589</v>
      </c>
      <c r="E114" s="3" t="s">
        <v>590</v>
      </c>
      <c r="F114" s="2" t="s">
        <v>591</v>
      </c>
      <c r="G114" s="2" t="s">
        <v>586</v>
      </c>
      <c r="H114" s="2" t="s">
        <v>90</v>
      </c>
      <c r="I114" s="2" t="s">
        <v>592</v>
      </c>
      <c r="J114" s="2"/>
      <c r="K114" s="2" t="s">
        <v>20</v>
      </c>
    </row>
    <row r="115" spans="1:11" ht="26.4" x14ac:dyDescent="0.3">
      <c r="A115" s="4">
        <v>114</v>
      </c>
      <c r="B115" s="4" t="s">
        <v>581</v>
      </c>
      <c r="C115" s="4" t="s">
        <v>593</v>
      </c>
      <c r="D115" s="4" t="s">
        <v>594</v>
      </c>
      <c r="E115" s="5" t="s">
        <v>595</v>
      </c>
      <c r="F115" s="4" t="s">
        <v>596</v>
      </c>
      <c r="G115" s="4" t="s">
        <v>586</v>
      </c>
      <c r="H115" s="4" t="s">
        <v>90</v>
      </c>
      <c r="I115" s="4" t="s">
        <v>597</v>
      </c>
      <c r="J115" s="4"/>
      <c r="K115" s="4" t="s">
        <v>20</v>
      </c>
    </row>
    <row r="116" spans="1:11" ht="26.4" x14ac:dyDescent="0.3">
      <c r="A116" s="2">
        <v>115</v>
      </c>
      <c r="B116" s="2" t="s">
        <v>581</v>
      </c>
      <c r="C116" s="2" t="s">
        <v>598</v>
      </c>
      <c r="D116" s="2" t="s">
        <v>599</v>
      </c>
      <c r="E116" s="3" t="s">
        <v>600</v>
      </c>
      <c r="F116" s="2" t="s">
        <v>601</v>
      </c>
      <c r="G116" s="2" t="s">
        <v>586</v>
      </c>
      <c r="H116" s="2" t="s">
        <v>90</v>
      </c>
      <c r="I116" s="2" t="s">
        <v>602</v>
      </c>
      <c r="J116" s="2"/>
      <c r="K116" s="2" t="s">
        <v>20</v>
      </c>
    </row>
    <row r="117" spans="1:11" ht="26.4" x14ac:dyDescent="0.3">
      <c r="A117" s="4">
        <v>116</v>
      </c>
      <c r="B117" s="4" t="s">
        <v>603</v>
      </c>
      <c r="C117" s="4" t="s">
        <v>604</v>
      </c>
      <c r="D117" s="4" t="s">
        <v>67</v>
      </c>
      <c r="E117" s="5" t="s">
        <v>605</v>
      </c>
      <c r="F117" s="4" t="s">
        <v>606</v>
      </c>
      <c r="G117" s="4" t="s">
        <v>586</v>
      </c>
      <c r="H117" s="4" t="s">
        <v>90</v>
      </c>
      <c r="I117" s="4" t="s">
        <v>607</v>
      </c>
      <c r="J117" s="4"/>
      <c r="K117" s="4" t="s">
        <v>20</v>
      </c>
    </row>
    <row r="118" spans="1:11" ht="26.4" x14ac:dyDescent="0.3">
      <c r="A118" s="2">
        <v>117</v>
      </c>
      <c r="B118" s="2" t="s">
        <v>603</v>
      </c>
      <c r="C118" s="2" t="s">
        <v>608</v>
      </c>
      <c r="D118" s="2" t="s">
        <v>589</v>
      </c>
      <c r="E118" s="3" t="s">
        <v>609</v>
      </c>
      <c r="F118" s="2" t="s">
        <v>591</v>
      </c>
      <c r="G118" s="2" t="s">
        <v>586</v>
      </c>
      <c r="H118" s="2" t="s">
        <v>90</v>
      </c>
      <c r="I118" s="2" t="s">
        <v>592</v>
      </c>
      <c r="J118" s="2" t="s">
        <v>610</v>
      </c>
      <c r="K118" s="2" t="s">
        <v>20</v>
      </c>
    </row>
    <row r="119" spans="1:11" ht="26.4" x14ac:dyDescent="0.3">
      <c r="A119" s="4">
        <v>118</v>
      </c>
      <c r="B119" s="4" t="s">
        <v>603</v>
      </c>
      <c r="C119" s="4" t="s">
        <v>611</v>
      </c>
      <c r="D119" s="4" t="s">
        <v>612</v>
      </c>
      <c r="E119" s="5" t="s">
        <v>613</v>
      </c>
      <c r="F119" s="4" t="s">
        <v>614</v>
      </c>
      <c r="G119" s="4" t="s">
        <v>586</v>
      </c>
      <c r="H119" s="4" t="s">
        <v>90</v>
      </c>
      <c r="I119" s="4" t="s">
        <v>553</v>
      </c>
      <c r="J119" s="4"/>
      <c r="K119" s="4" t="s">
        <v>20</v>
      </c>
    </row>
    <row r="120" spans="1:11" ht="24" x14ac:dyDescent="0.3">
      <c r="A120" s="2">
        <v>119</v>
      </c>
      <c r="B120" s="2" t="s">
        <v>615</v>
      </c>
      <c r="C120" s="2" t="s">
        <v>26</v>
      </c>
      <c r="D120" s="2" t="s">
        <v>616</v>
      </c>
      <c r="E120" s="3" t="s">
        <v>617</v>
      </c>
      <c r="F120" s="2" t="s">
        <v>618</v>
      </c>
      <c r="G120" s="2" t="s">
        <v>619</v>
      </c>
      <c r="H120" s="2" t="s">
        <v>620</v>
      </c>
      <c r="I120" s="2" t="s">
        <v>592</v>
      </c>
      <c r="J120" s="2"/>
      <c r="K120" s="2" t="s">
        <v>20</v>
      </c>
    </row>
    <row r="121" spans="1:11" ht="26.4" x14ac:dyDescent="0.3">
      <c r="A121" s="4">
        <v>120</v>
      </c>
      <c r="B121" s="4" t="s">
        <v>615</v>
      </c>
      <c r="C121" s="4" t="s">
        <v>621</v>
      </c>
      <c r="D121" s="4" t="s">
        <v>622</v>
      </c>
      <c r="E121" s="5" t="s">
        <v>623</v>
      </c>
      <c r="F121" s="4" t="s">
        <v>624</v>
      </c>
      <c r="G121" s="4" t="s">
        <v>619</v>
      </c>
      <c r="H121" s="4" t="s">
        <v>620</v>
      </c>
      <c r="I121" s="4" t="s">
        <v>625</v>
      </c>
      <c r="J121" s="4"/>
      <c r="K121" s="4" t="s">
        <v>20</v>
      </c>
    </row>
    <row r="122" spans="1:11" x14ac:dyDescent="0.3">
      <c r="A122" s="2">
        <v>121</v>
      </c>
      <c r="B122" s="2" t="s">
        <v>615</v>
      </c>
      <c r="C122" s="2" t="s">
        <v>626</v>
      </c>
      <c r="D122" s="2" t="s">
        <v>626</v>
      </c>
      <c r="E122" s="3" t="s">
        <v>627</v>
      </c>
      <c r="F122" s="2" t="s">
        <v>628</v>
      </c>
      <c r="G122" s="2" t="s">
        <v>619</v>
      </c>
      <c r="H122" s="2" t="s">
        <v>620</v>
      </c>
      <c r="I122" s="2" t="s">
        <v>629</v>
      </c>
      <c r="J122" s="2" t="s">
        <v>630</v>
      </c>
      <c r="K122" s="2" t="s">
        <v>20</v>
      </c>
    </row>
    <row r="123" spans="1:11" ht="26.4" x14ac:dyDescent="0.3">
      <c r="A123" s="4">
        <v>122</v>
      </c>
      <c r="B123" s="4" t="s">
        <v>615</v>
      </c>
      <c r="C123" s="4" t="s">
        <v>631</v>
      </c>
      <c r="D123" s="4" t="s">
        <v>632</v>
      </c>
      <c r="E123" s="5" t="s">
        <v>633</v>
      </c>
      <c r="F123" s="4" t="s">
        <v>634</v>
      </c>
      <c r="G123" s="4" t="s">
        <v>372</v>
      </c>
      <c r="H123" s="4" t="s">
        <v>31</v>
      </c>
      <c r="I123" s="4" t="s">
        <v>635</v>
      </c>
      <c r="J123" s="4"/>
      <c r="K123" s="4" t="s">
        <v>20</v>
      </c>
    </row>
    <row r="124" spans="1:11" ht="26.4" x14ac:dyDescent="0.3">
      <c r="A124" s="2">
        <v>123</v>
      </c>
      <c r="B124" s="2" t="s">
        <v>636</v>
      </c>
      <c r="C124" s="2" t="s">
        <v>637</v>
      </c>
      <c r="D124" s="2" t="s">
        <v>638</v>
      </c>
      <c r="E124" s="3" t="s">
        <v>639</v>
      </c>
      <c r="F124" s="2" t="s">
        <v>640</v>
      </c>
      <c r="G124" s="2" t="s">
        <v>619</v>
      </c>
      <c r="H124" s="2" t="s">
        <v>620</v>
      </c>
      <c r="I124" s="2" t="s">
        <v>592</v>
      </c>
      <c r="J124" s="2" t="s">
        <v>641</v>
      </c>
      <c r="K124" s="2" t="s">
        <v>20</v>
      </c>
    </row>
    <row r="125" spans="1:11" x14ac:dyDescent="0.3">
      <c r="A125" s="4">
        <v>124</v>
      </c>
      <c r="B125" s="4" t="s">
        <v>636</v>
      </c>
      <c r="C125" s="4" t="s">
        <v>642</v>
      </c>
      <c r="D125" s="4" t="s">
        <v>643</v>
      </c>
      <c r="E125" s="5" t="s">
        <v>644</v>
      </c>
      <c r="F125" s="4" t="s">
        <v>645</v>
      </c>
      <c r="G125" s="4" t="s">
        <v>619</v>
      </c>
      <c r="H125" s="4" t="s">
        <v>620</v>
      </c>
      <c r="I125" s="4" t="s">
        <v>646</v>
      </c>
      <c r="J125" s="4"/>
      <c r="K125" s="4" t="s">
        <v>20</v>
      </c>
    </row>
    <row r="126" spans="1:11" x14ac:dyDescent="0.3">
      <c r="A126" s="2">
        <v>125</v>
      </c>
      <c r="B126" s="2" t="s">
        <v>636</v>
      </c>
      <c r="C126" s="2" t="s">
        <v>647</v>
      </c>
      <c r="D126" s="2" t="s">
        <v>648</v>
      </c>
      <c r="E126" s="3" t="s">
        <v>649</v>
      </c>
      <c r="F126" s="2" t="s">
        <v>650</v>
      </c>
      <c r="G126" s="2" t="s">
        <v>619</v>
      </c>
      <c r="H126" s="2" t="s">
        <v>620</v>
      </c>
      <c r="I126" s="2" t="s">
        <v>651</v>
      </c>
      <c r="J126" s="2"/>
      <c r="K126" s="2" t="s">
        <v>20</v>
      </c>
    </row>
    <row r="127" spans="1:11" x14ac:dyDescent="0.3">
      <c r="A127" s="4">
        <v>126</v>
      </c>
      <c r="B127" s="4" t="s">
        <v>636</v>
      </c>
      <c r="C127" s="4" t="s">
        <v>642</v>
      </c>
      <c r="D127" s="4" t="s">
        <v>652</v>
      </c>
      <c r="E127" s="5" t="s">
        <v>653</v>
      </c>
      <c r="F127" s="4" t="s">
        <v>654</v>
      </c>
      <c r="G127" s="4" t="s">
        <v>619</v>
      </c>
      <c r="H127" s="4" t="s">
        <v>620</v>
      </c>
      <c r="I127" s="4" t="s">
        <v>655</v>
      </c>
      <c r="J127" s="4"/>
      <c r="K127" s="4" t="s">
        <v>20</v>
      </c>
    </row>
    <row r="128" spans="1:11" ht="24" x14ac:dyDescent="0.3">
      <c r="A128" s="2">
        <v>127</v>
      </c>
      <c r="B128" s="2" t="s">
        <v>656</v>
      </c>
      <c r="C128" s="2" t="s">
        <v>657</v>
      </c>
      <c r="D128" s="2" t="s">
        <v>376</v>
      </c>
      <c r="E128" s="3" t="s">
        <v>658</v>
      </c>
      <c r="F128" s="2" t="s">
        <v>618</v>
      </c>
      <c r="G128" s="2" t="s">
        <v>619</v>
      </c>
      <c r="H128" s="2" t="s">
        <v>620</v>
      </c>
      <c r="I128" s="2" t="s">
        <v>592</v>
      </c>
      <c r="J128" s="2"/>
      <c r="K128" s="2" t="s">
        <v>20</v>
      </c>
    </row>
    <row r="129" spans="1:11" x14ac:dyDescent="0.3">
      <c r="A129" s="4">
        <v>128</v>
      </c>
      <c r="B129" s="4" t="s">
        <v>656</v>
      </c>
      <c r="C129" s="4" t="s">
        <v>659</v>
      </c>
      <c r="D129" s="4" t="s">
        <v>660</v>
      </c>
      <c r="E129" s="5" t="s">
        <v>661</v>
      </c>
      <c r="F129" s="4" t="s">
        <v>662</v>
      </c>
      <c r="G129" s="4" t="s">
        <v>619</v>
      </c>
      <c r="H129" s="4" t="s">
        <v>620</v>
      </c>
      <c r="I129" s="4" t="s">
        <v>663</v>
      </c>
      <c r="J129" s="4"/>
      <c r="K129" s="4" t="s">
        <v>20</v>
      </c>
    </row>
    <row r="130" spans="1:11" x14ac:dyDescent="0.3">
      <c r="A130" s="2">
        <v>129</v>
      </c>
      <c r="B130" s="2" t="s">
        <v>656</v>
      </c>
      <c r="C130" s="2" t="s">
        <v>664</v>
      </c>
      <c r="D130" s="2" t="s">
        <v>665</v>
      </c>
      <c r="E130" s="3" t="s">
        <v>666</v>
      </c>
      <c r="F130" s="2" t="s">
        <v>667</v>
      </c>
      <c r="G130" s="2" t="s">
        <v>619</v>
      </c>
      <c r="H130" s="2" t="s">
        <v>620</v>
      </c>
      <c r="I130" s="2" t="s">
        <v>668</v>
      </c>
      <c r="J130" s="2"/>
      <c r="K130" s="2" t="s">
        <v>20</v>
      </c>
    </row>
    <row r="131" spans="1:11" ht="26.4" x14ac:dyDescent="0.3">
      <c r="A131" s="4">
        <v>130</v>
      </c>
      <c r="B131" s="4" t="s">
        <v>656</v>
      </c>
      <c r="C131" s="4" t="s">
        <v>669</v>
      </c>
      <c r="D131" s="4" t="s">
        <v>670</v>
      </c>
      <c r="E131" s="5" t="s">
        <v>671</v>
      </c>
      <c r="F131" s="4" t="s">
        <v>672</v>
      </c>
      <c r="G131" s="4" t="s">
        <v>619</v>
      </c>
      <c r="H131" s="4" t="s">
        <v>620</v>
      </c>
      <c r="I131" s="4" t="s">
        <v>673</v>
      </c>
      <c r="J131" s="4" t="s">
        <v>674</v>
      </c>
      <c r="K131" s="4" t="s">
        <v>20</v>
      </c>
    </row>
    <row r="132" spans="1:11" ht="26.4" x14ac:dyDescent="0.3">
      <c r="A132" s="2">
        <v>131</v>
      </c>
      <c r="B132" s="2" t="s">
        <v>656</v>
      </c>
      <c r="C132" s="2" t="s">
        <v>675</v>
      </c>
      <c r="D132" s="2" t="s">
        <v>676</v>
      </c>
      <c r="E132" s="3" t="s">
        <v>677</v>
      </c>
      <c r="F132" s="2" t="s">
        <v>678</v>
      </c>
      <c r="G132" s="2" t="s">
        <v>619</v>
      </c>
      <c r="H132" s="2" t="s">
        <v>620</v>
      </c>
      <c r="I132" s="2" t="s">
        <v>679</v>
      </c>
      <c r="J132" s="2" t="s">
        <v>680</v>
      </c>
      <c r="K132" s="2" t="s">
        <v>20</v>
      </c>
    </row>
    <row r="133" spans="1:11" ht="26.4" x14ac:dyDescent="0.3">
      <c r="A133" s="4">
        <v>132</v>
      </c>
      <c r="B133" s="4" t="s">
        <v>681</v>
      </c>
      <c r="C133" s="4" t="s">
        <v>682</v>
      </c>
      <c r="D133" s="4" t="s">
        <v>683</v>
      </c>
      <c r="E133" s="5" t="s">
        <v>684</v>
      </c>
      <c r="F133" s="4" t="s">
        <v>685</v>
      </c>
      <c r="G133" s="4" t="s">
        <v>619</v>
      </c>
      <c r="H133" s="4" t="s">
        <v>620</v>
      </c>
      <c r="I133" s="4" t="s">
        <v>686</v>
      </c>
      <c r="J133" s="4" t="s">
        <v>687</v>
      </c>
      <c r="K133" s="4" t="s">
        <v>20</v>
      </c>
    </row>
    <row r="134" spans="1:11" ht="26.4" x14ac:dyDescent="0.3">
      <c r="A134" s="2">
        <v>133</v>
      </c>
      <c r="B134" s="2" t="s">
        <v>688</v>
      </c>
      <c r="C134" s="2" t="s">
        <v>689</v>
      </c>
      <c r="D134" s="2" t="s">
        <v>376</v>
      </c>
      <c r="E134" s="3" t="s">
        <v>690</v>
      </c>
      <c r="F134" s="2" t="s">
        <v>691</v>
      </c>
      <c r="G134" s="2" t="s">
        <v>619</v>
      </c>
      <c r="H134" s="2" t="s">
        <v>620</v>
      </c>
      <c r="I134" s="2" t="s">
        <v>692</v>
      </c>
      <c r="J134" s="2"/>
      <c r="K134" s="2" t="s">
        <v>20</v>
      </c>
    </row>
    <row r="135" spans="1:11" ht="26.4" x14ac:dyDescent="0.3">
      <c r="A135" s="4">
        <v>134</v>
      </c>
      <c r="B135" s="4" t="s">
        <v>688</v>
      </c>
      <c r="C135" s="4" t="s">
        <v>664</v>
      </c>
      <c r="D135" s="4" t="s">
        <v>693</v>
      </c>
      <c r="E135" s="5" t="s">
        <v>694</v>
      </c>
      <c r="F135" s="4" t="s">
        <v>695</v>
      </c>
      <c r="G135" s="4" t="s">
        <v>619</v>
      </c>
      <c r="H135" s="4" t="s">
        <v>620</v>
      </c>
      <c r="I135" s="4" t="s">
        <v>696</v>
      </c>
      <c r="J135" s="4"/>
      <c r="K135" s="4" t="s">
        <v>20</v>
      </c>
    </row>
    <row r="136" spans="1:11" ht="26.4" x14ac:dyDescent="0.3">
      <c r="A136" s="2">
        <v>135</v>
      </c>
      <c r="B136" s="2" t="s">
        <v>688</v>
      </c>
      <c r="C136" s="2" t="s">
        <v>697</v>
      </c>
      <c r="D136" s="2" t="s">
        <v>698</v>
      </c>
      <c r="E136" s="3" t="s">
        <v>699</v>
      </c>
      <c r="F136" s="2" t="s">
        <v>700</v>
      </c>
      <c r="G136" s="2" t="s">
        <v>619</v>
      </c>
      <c r="H136" s="2" t="s">
        <v>620</v>
      </c>
      <c r="I136" s="2" t="s">
        <v>701</v>
      </c>
      <c r="J136" s="2" t="s">
        <v>702</v>
      </c>
      <c r="K136" s="2" t="s">
        <v>20</v>
      </c>
    </row>
    <row r="137" spans="1:11" x14ac:dyDescent="0.3">
      <c r="A137" s="4">
        <v>136</v>
      </c>
      <c r="B137" s="4" t="s">
        <v>703</v>
      </c>
      <c r="C137" s="4" t="s">
        <v>704</v>
      </c>
      <c r="D137" s="4" t="s">
        <v>705</v>
      </c>
      <c r="E137" s="5" t="s">
        <v>706</v>
      </c>
      <c r="F137" s="4" t="s">
        <v>707</v>
      </c>
      <c r="G137" s="4" t="s">
        <v>619</v>
      </c>
      <c r="H137" s="4" t="s">
        <v>620</v>
      </c>
      <c r="I137" s="4" t="s">
        <v>708</v>
      </c>
      <c r="J137" s="4"/>
      <c r="K137" s="4" t="s">
        <v>20</v>
      </c>
    </row>
    <row r="138" spans="1:11" x14ac:dyDescent="0.3">
      <c r="A138" s="2">
        <v>137</v>
      </c>
      <c r="B138" s="2" t="s">
        <v>703</v>
      </c>
      <c r="C138" s="2" t="s">
        <v>709</v>
      </c>
      <c r="D138" s="2" t="s">
        <v>710</v>
      </c>
      <c r="E138" s="3" t="s">
        <v>711</v>
      </c>
      <c r="F138" s="2" t="s">
        <v>712</v>
      </c>
      <c r="G138" s="2" t="s">
        <v>619</v>
      </c>
      <c r="H138" s="2" t="s">
        <v>31</v>
      </c>
      <c r="I138" s="2" t="s">
        <v>713</v>
      </c>
      <c r="J138" s="2"/>
      <c r="K138" s="2" t="s">
        <v>20</v>
      </c>
    </row>
    <row r="139" spans="1:11" x14ac:dyDescent="0.3">
      <c r="A139" s="4">
        <v>138</v>
      </c>
      <c r="B139" s="4" t="s">
        <v>703</v>
      </c>
      <c r="C139" s="4" t="s">
        <v>714</v>
      </c>
      <c r="D139" s="4" t="s">
        <v>715</v>
      </c>
      <c r="E139" s="5" t="s">
        <v>716</v>
      </c>
      <c r="F139" s="4" t="s">
        <v>717</v>
      </c>
      <c r="G139" s="4" t="s">
        <v>619</v>
      </c>
      <c r="H139" s="4" t="s">
        <v>620</v>
      </c>
      <c r="I139" s="4" t="s">
        <v>592</v>
      </c>
      <c r="J139" s="4"/>
      <c r="K139" s="4" t="s">
        <v>20</v>
      </c>
    </row>
    <row r="140" spans="1:11" ht="26.4" x14ac:dyDescent="0.3">
      <c r="A140" s="2">
        <v>139</v>
      </c>
      <c r="B140" s="2" t="s">
        <v>703</v>
      </c>
      <c r="C140" s="2" t="s">
        <v>718</v>
      </c>
      <c r="D140" s="2" t="s">
        <v>719</v>
      </c>
      <c r="E140" s="3" t="s">
        <v>720</v>
      </c>
      <c r="F140" s="2" t="s">
        <v>721</v>
      </c>
      <c r="G140" s="2" t="s">
        <v>619</v>
      </c>
      <c r="H140" s="2" t="s">
        <v>620</v>
      </c>
      <c r="I140" s="2" t="s">
        <v>722</v>
      </c>
      <c r="J140" s="2" t="s">
        <v>723</v>
      </c>
      <c r="K140" s="2" t="s">
        <v>20</v>
      </c>
    </row>
    <row r="141" spans="1:11" x14ac:dyDescent="0.3">
      <c r="A141" s="4">
        <v>140</v>
      </c>
      <c r="B141" s="4" t="s">
        <v>703</v>
      </c>
      <c r="C141" s="4" t="s">
        <v>724</v>
      </c>
      <c r="D141" s="4" t="s">
        <v>724</v>
      </c>
      <c r="E141" s="5" t="s">
        <v>725</v>
      </c>
      <c r="F141" s="4" t="s">
        <v>726</v>
      </c>
      <c r="G141" s="4" t="s">
        <v>372</v>
      </c>
      <c r="H141" s="4" t="s">
        <v>31</v>
      </c>
      <c r="I141" s="4" t="s">
        <v>727</v>
      </c>
      <c r="J141" s="4"/>
      <c r="K141" s="4" t="s">
        <v>20</v>
      </c>
    </row>
    <row r="142" spans="1:11" ht="26.4" x14ac:dyDescent="0.3">
      <c r="A142" s="2">
        <v>141</v>
      </c>
      <c r="B142" s="2" t="s">
        <v>728</v>
      </c>
      <c r="C142" s="2" t="s">
        <v>729</v>
      </c>
      <c r="D142" s="2" t="s">
        <v>730</v>
      </c>
      <c r="E142" s="3" t="s">
        <v>731</v>
      </c>
      <c r="F142" s="2" t="s">
        <v>732</v>
      </c>
      <c r="G142" s="2" t="s">
        <v>372</v>
      </c>
      <c r="H142" s="2" t="s">
        <v>31</v>
      </c>
      <c r="I142" s="2" t="s">
        <v>733</v>
      </c>
      <c r="J142" s="2" t="s">
        <v>734</v>
      </c>
      <c r="K142" s="2" t="s">
        <v>20</v>
      </c>
    </row>
    <row r="143" spans="1:11" ht="26.4" x14ac:dyDescent="0.3">
      <c r="A143" s="4">
        <v>142</v>
      </c>
      <c r="B143" s="4" t="s">
        <v>735</v>
      </c>
      <c r="C143" s="4" t="s">
        <v>736</v>
      </c>
      <c r="D143" s="4" t="s">
        <v>737</v>
      </c>
      <c r="E143" s="5" t="s">
        <v>738</v>
      </c>
      <c r="F143" s="4" t="s">
        <v>739</v>
      </c>
      <c r="G143" s="4" t="s">
        <v>523</v>
      </c>
      <c r="H143" s="4" t="s">
        <v>38</v>
      </c>
      <c r="I143" s="4" t="s">
        <v>740</v>
      </c>
      <c r="J143" s="4" t="s">
        <v>741</v>
      </c>
      <c r="K143" s="4" t="s">
        <v>20</v>
      </c>
    </row>
    <row r="144" spans="1:11" ht="26.4" x14ac:dyDescent="0.3">
      <c r="A144" s="2">
        <v>143</v>
      </c>
      <c r="B144" s="2" t="s">
        <v>735</v>
      </c>
      <c r="C144" s="2" t="s">
        <v>742</v>
      </c>
      <c r="D144" s="2" t="s">
        <v>743</v>
      </c>
      <c r="E144" s="3" t="s">
        <v>744</v>
      </c>
      <c r="F144" s="2" t="s">
        <v>745</v>
      </c>
      <c r="G144" s="2" t="s">
        <v>523</v>
      </c>
      <c r="H144" s="2" t="s">
        <v>98</v>
      </c>
      <c r="I144" s="2" t="s">
        <v>746</v>
      </c>
      <c r="J144" s="2"/>
      <c r="K144" s="2" t="s">
        <v>20</v>
      </c>
    </row>
    <row r="145" spans="1:11" ht="26.4" x14ac:dyDescent="0.3">
      <c r="A145" s="4">
        <v>144</v>
      </c>
      <c r="B145" s="4" t="s">
        <v>735</v>
      </c>
      <c r="C145" s="4" t="s">
        <v>747</v>
      </c>
      <c r="D145" s="4" t="s">
        <v>748</v>
      </c>
      <c r="E145" s="5" t="s">
        <v>749</v>
      </c>
      <c r="F145" s="4" t="s">
        <v>750</v>
      </c>
      <c r="G145" s="4" t="s">
        <v>523</v>
      </c>
      <c r="H145" s="4" t="s">
        <v>31</v>
      </c>
      <c r="I145" s="4" t="s">
        <v>751</v>
      </c>
      <c r="J145" s="4"/>
      <c r="K145" s="4" t="s">
        <v>20</v>
      </c>
    </row>
    <row r="146" spans="1:11" ht="26.4" x14ac:dyDescent="0.3">
      <c r="A146" s="2">
        <v>145</v>
      </c>
      <c r="B146" s="2" t="s">
        <v>735</v>
      </c>
      <c r="C146" s="2" t="s">
        <v>752</v>
      </c>
      <c r="D146" s="2" t="s">
        <v>753</v>
      </c>
      <c r="E146" s="3" t="s">
        <v>754</v>
      </c>
      <c r="F146" s="2" t="s">
        <v>755</v>
      </c>
      <c r="G146" s="2" t="s">
        <v>523</v>
      </c>
      <c r="H146" s="2" t="s">
        <v>31</v>
      </c>
      <c r="I146" s="2" t="s">
        <v>756</v>
      </c>
      <c r="J146" s="2"/>
      <c r="K146" s="2" t="s">
        <v>20</v>
      </c>
    </row>
    <row r="147" spans="1:11" ht="26.4" x14ac:dyDescent="0.3">
      <c r="A147" s="4">
        <v>146</v>
      </c>
      <c r="B147" s="4" t="s">
        <v>735</v>
      </c>
      <c r="C147" s="4" t="s">
        <v>757</v>
      </c>
      <c r="D147" s="4" t="s">
        <v>758</v>
      </c>
      <c r="E147" s="5" t="s">
        <v>759</v>
      </c>
      <c r="F147" s="4" t="s">
        <v>760</v>
      </c>
      <c r="G147" s="4" t="s">
        <v>523</v>
      </c>
      <c r="H147" s="4" t="s">
        <v>31</v>
      </c>
      <c r="I147" s="4" t="s">
        <v>761</v>
      </c>
      <c r="J147" s="4"/>
      <c r="K147" s="4" t="s">
        <v>20</v>
      </c>
    </row>
    <row r="148" spans="1:11" ht="26.4" x14ac:dyDescent="0.3">
      <c r="A148" s="2">
        <v>147</v>
      </c>
      <c r="B148" s="2" t="s">
        <v>735</v>
      </c>
      <c r="C148" s="2" t="s">
        <v>762</v>
      </c>
      <c r="D148" s="2" t="s">
        <v>763</v>
      </c>
      <c r="E148" s="3" t="s">
        <v>764</v>
      </c>
      <c r="F148" s="2" t="s">
        <v>765</v>
      </c>
      <c r="G148" s="2" t="s">
        <v>523</v>
      </c>
      <c r="H148" s="2" t="s">
        <v>31</v>
      </c>
      <c r="I148" s="2" t="s">
        <v>766</v>
      </c>
      <c r="J148" s="2" t="s">
        <v>767</v>
      </c>
      <c r="K148" s="2" t="s">
        <v>20</v>
      </c>
    </row>
    <row r="149" spans="1:11" ht="26.4" x14ac:dyDescent="0.3">
      <c r="A149" s="4">
        <v>148</v>
      </c>
      <c r="B149" s="4" t="s">
        <v>735</v>
      </c>
      <c r="C149" s="4" t="s">
        <v>768</v>
      </c>
      <c r="D149" s="4" t="s">
        <v>769</v>
      </c>
      <c r="E149" s="5" t="s">
        <v>770</v>
      </c>
      <c r="F149" s="4" t="s">
        <v>771</v>
      </c>
      <c r="G149" s="4" t="s">
        <v>523</v>
      </c>
      <c r="H149" s="4" t="s">
        <v>31</v>
      </c>
      <c r="I149" s="4" t="s">
        <v>772</v>
      </c>
      <c r="J149" s="4" t="s">
        <v>773</v>
      </c>
      <c r="K149" s="4" t="s">
        <v>20</v>
      </c>
    </row>
    <row r="150" spans="1:11" ht="26.4" x14ac:dyDescent="0.3">
      <c r="A150" s="2">
        <v>149</v>
      </c>
      <c r="B150" s="2" t="s">
        <v>735</v>
      </c>
      <c r="C150" s="2" t="s">
        <v>774</v>
      </c>
      <c r="D150" s="2" t="s">
        <v>775</v>
      </c>
      <c r="E150" s="3" t="s">
        <v>776</v>
      </c>
      <c r="F150" s="2" t="s">
        <v>777</v>
      </c>
      <c r="G150" s="2" t="s">
        <v>523</v>
      </c>
      <c r="H150" s="2" t="s">
        <v>31</v>
      </c>
      <c r="I150" s="2" t="s">
        <v>778</v>
      </c>
      <c r="J150" s="2" t="s">
        <v>779</v>
      </c>
      <c r="K150" s="2" t="s">
        <v>20</v>
      </c>
    </row>
    <row r="151" spans="1:11" ht="26.4" x14ac:dyDescent="0.3">
      <c r="A151" s="4">
        <v>150</v>
      </c>
      <c r="B151" s="4" t="s">
        <v>780</v>
      </c>
      <c r="C151" s="4" t="s">
        <v>781</v>
      </c>
      <c r="D151" s="4" t="s">
        <v>782</v>
      </c>
      <c r="E151" s="5" t="s">
        <v>783</v>
      </c>
      <c r="F151" s="4" t="s">
        <v>784</v>
      </c>
      <c r="G151" s="4" t="s">
        <v>30</v>
      </c>
      <c r="H151" s="4" t="s">
        <v>31</v>
      </c>
      <c r="I151" s="4" t="s">
        <v>785</v>
      </c>
      <c r="J151" s="4" t="s">
        <v>786</v>
      </c>
      <c r="K151" s="4" t="s">
        <v>20</v>
      </c>
    </row>
  </sheetData>
  <autoFilter ref="A1:K15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95" customWidth="1"/>
    <col min="3" max="3" width="16" customWidth="1"/>
  </cols>
  <sheetData>
    <row r="1" spans="1:3" ht="17.399999999999999" x14ac:dyDescent="0.3">
      <c r="A1" s="6" t="s">
        <v>787</v>
      </c>
    </row>
    <row r="3" spans="1:3" x14ac:dyDescent="0.3">
      <c r="A3" s="7" t="s">
        <v>6</v>
      </c>
      <c r="B3" s="7" t="s">
        <v>788</v>
      </c>
      <c r="C3" s="7" t="s">
        <v>789</v>
      </c>
    </row>
    <row r="4" spans="1:3" x14ac:dyDescent="0.3">
      <c r="A4" s="2" t="s">
        <v>37</v>
      </c>
      <c r="B4" s="2" t="s">
        <v>790</v>
      </c>
      <c r="C4" s="8">
        <f>COUNTIF('Formula map'!$G:$G,A4)</f>
        <v>10</v>
      </c>
    </row>
    <row r="5" spans="1:3" ht="26.4" x14ac:dyDescent="0.3">
      <c r="A5" s="2" t="s">
        <v>89</v>
      </c>
      <c r="B5" s="2" t="s">
        <v>791</v>
      </c>
      <c r="C5" s="8">
        <f>COUNTIF('Formula map'!$G:$G,A5)</f>
        <v>21</v>
      </c>
    </row>
    <row r="6" spans="1:3" ht="26.4" x14ac:dyDescent="0.3">
      <c r="A6" s="2" t="s">
        <v>16</v>
      </c>
      <c r="B6" s="2" t="s">
        <v>792</v>
      </c>
      <c r="C6" s="8">
        <f>COUNTIF('Formula map'!$G:$G,A6)</f>
        <v>16</v>
      </c>
    </row>
    <row r="7" spans="1:3" x14ac:dyDescent="0.3">
      <c r="A7" s="2" t="s">
        <v>44</v>
      </c>
      <c r="B7" s="2" t="s">
        <v>793</v>
      </c>
      <c r="C7" s="8">
        <f>COUNTIF('Formula map'!$G:$G,A7)</f>
        <v>16</v>
      </c>
    </row>
    <row r="8" spans="1:3" x14ac:dyDescent="0.3">
      <c r="A8" s="2" t="s">
        <v>268</v>
      </c>
      <c r="B8" s="2" t="s">
        <v>794</v>
      </c>
      <c r="C8" s="8">
        <f>COUNTIF('Formula map'!$G:$G,A8)</f>
        <v>10</v>
      </c>
    </row>
    <row r="9" spans="1:3" x14ac:dyDescent="0.3">
      <c r="A9" s="2" t="s">
        <v>372</v>
      </c>
      <c r="B9" s="2" t="s">
        <v>795</v>
      </c>
      <c r="C9" s="8">
        <f>COUNTIF('Formula map'!$G:$G,A9)</f>
        <v>21</v>
      </c>
    </row>
    <row r="10" spans="1:3" x14ac:dyDescent="0.3">
      <c r="A10" s="2" t="s">
        <v>619</v>
      </c>
      <c r="B10" s="2" t="s">
        <v>796</v>
      </c>
      <c r="C10" s="8">
        <f>COUNTIF('Formula map'!$G:$G,A10)</f>
        <v>20</v>
      </c>
    </row>
    <row r="11" spans="1:3" x14ac:dyDescent="0.3">
      <c r="A11" s="2" t="s">
        <v>480</v>
      </c>
      <c r="B11" s="2" t="s">
        <v>797</v>
      </c>
      <c r="C11" s="8">
        <f>COUNTIF('Formula map'!$G:$G,A11)</f>
        <v>16</v>
      </c>
    </row>
    <row r="12" spans="1:3" x14ac:dyDescent="0.3">
      <c r="A12" s="2" t="s">
        <v>586</v>
      </c>
      <c r="B12" s="2" t="s">
        <v>798</v>
      </c>
      <c r="C12" s="8">
        <f>COUNTIF('Formula map'!$G:$G,A12)</f>
        <v>7</v>
      </c>
    </row>
    <row r="13" spans="1:3" x14ac:dyDescent="0.3">
      <c r="A13" s="2" t="s">
        <v>523</v>
      </c>
      <c r="B13" s="2" t="s">
        <v>799</v>
      </c>
      <c r="C13" s="8">
        <f>COUNTIF('Formula map'!$G:$G,A13)</f>
        <v>10</v>
      </c>
    </row>
    <row r="14" spans="1:3" x14ac:dyDescent="0.3">
      <c r="A14" s="2" t="s">
        <v>30</v>
      </c>
      <c r="B14" s="2" t="s">
        <v>800</v>
      </c>
      <c r="C14" s="8">
        <f>COUNTIF('Formula map'!$G:$G,A14)</f>
        <v>3</v>
      </c>
    </row>
    <row r="15" spans="1:3" x14ac:dyDescent="0.3">
      <c r="A15" s="9" t="s">
        <v>632</v>
      </c>
      <c r="C15" s="10">
        <f>SUM(C4:C14)</f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/>
  </sheetViews>
  <sheetFormatPr defaultColWidth="8.6640625" defaultRowHeight="14.4" x14ac:dyDescent="0.3"/>
  <cols>
    <col min="1" max="1" width="20" customWidth="1"/>
    <col min="2" max="3" width="44" customWidth="1"/>
    <col min="4" max="4" width="40" customWidth="1"/>
    <col min="5" max="5" width="28" customWidth="1"/>
    <col min="6" max="6" width="50" customWidth="1"/>
  </cols>
  <sheetData>
    <row r="1" spans="1:6" ht="17.399999999999999" x14ac:dyDescent="0.3">
      <c r="A1" s="6" t="s">
        <v>801</v>
      </c>
    </row>
    <row r="3" spans="1:6" x14ac:dyDescent="0.3">
      <c r="A3" s="7" t="s">
        <v>7</v>
      </c>
      <c r="B3" s="7" t="s">
        <v>802</v>
      </c>
      <c r="C3" s="7" t="s">
        <v>803</v>
      </c>
      <c r="D3" s="7" t="s">
        <v>804</v>
      </c>
      <c r="E3" s="7" t="s">
        <v>805</v>
      </c>
      <c r="F3" s="7" t="s">
        <v>806</v>
      </c>
    </row>
    <row r="4" spans="1:6" ht="26.4" x14ac:dyDescent="0.3">
      <c r="A4" s="2" t="s">
        <v>90</v>
      </c>
      <c r="B4" s="2" t="s">
        <v>807</v>
      </c>
      <c r="C4" s="2" t="s">
        <v>808</v>
      </c>
      <c r="D4" s="2" t="s">
        <v>809</v>
      </c>
      <c r="E4" s="2" t="s">
        <v>810</v>
      </c>
      <c r="F4" s="2" t="s">
        <v>811</v>
      </c>
    </row>
    <row r="5" spans="1:6" ht="26.4" x14ac:dyDescent="0.3">
      <c r="A5" s="4" t="s">
        <v>98</v>
      </c>
      <c r="B5" s="4" t="s">
        <v>812</v>
      </c>
      <c r="C5" s="4" t="s">
        <v>813</v>
      </c>
      <c r="D5" s="4" t="s">
        <v>814</v>
      </c>
      <c r="E5" s="4" t="s">
        <v>815</v>
      </c>
      <c r="F5" s="4" t="s">
        <v>816</v>
      </c>
    </row>
    <row r="6" spans="1:6" ht="26.4" x14ac:dyDescent="0.3">
      <c r="A6" s="2" t="s">
        <v>620</v>
      </c>
      <c r="B6" s="2" t="s">
        <v>817</v>
      </c>
      <c r="C6" s="2" t="s">
        <v>818</v>
      </c>
      <c r="D6" s="2" t="s">
        <v>819</v>
      </c>
      <c r="E6" s="2" t="s">
        <v>820</v>
      </c>
      <c r="F6" s="2" t="s">
        <v>821</v>
      </c>
    </row>
    <row r="7" spans="1:6" ht="26.4" x14ac:dyDescent="0.3">
      <c r="A7" s="4" t="s">
        <v>123</v>
      </c>
      <c r="B7" s="4" t="s">
        <v>822</v>
      </c>
      <c r="C7" s="4" t="s">
        <v>823</v>
      </c>
      <c r="D7" s="4" t="s">
        <v>824</v>
      </c>
      <c r="E7" s="4" t="s">
        <v>825</v>
      </c>
      <c r="F7" s="4" t="s">
        <v>826</v>
      </c>
    </row>
    <row r="8" spans="1:6" x14ac:dyDescent="0.3">
      <c r="A8" s="2" t="s">
        <v>827</v>
      </c>
      <c r="B8" s="2" t="s">
        <v>828</v>
      </c>
      <c r="C8" s="2" t="s">
        <v>829</v>
      </c>
      <c r="D8" s="2" t="s">
        <v>830</v>
      </c>
      <c r="E8" s="2" t="s">
        <v>831</v>
      </c>
      <c r="F8" s="2" t="s">
        <v>832</v>
      </c>
    </row>
    <row r="9" spans="1:6" ht="26.4" x14ac:dyDescent="0.3">
      <c r="A9" s="4" t="s">
        <v>112</v>
      </c>
      <c r="B9" s="4" t="s">
        <v>833</v>
      </c>
      <c r="C9" s="4" t="s">
        <v>834</v>
      </c>
      <c r="D9" s="4" t="s">
        <v>835</v>
      </c>
      <c r="E9" s="4" t="s">
        <v>831</v>
      </c>
      <c r="F9" s="4" t="s">
        <v>836</v>
      </c>
    </row>
    <row r="10" spans="1:6" ht="26.4" x14ac:dyDescent="0.3">
      <c r="A10" s="2" t="s">
        <v>837</v>
      </c>
      <c r="B10" s="2" t="s">
        <v>838</v>
      </c>
      <c r="C10" s="2" t="s">
        <v>839</v>
      </c>
      <c r="D10" s="2" t="s">
        <v>840</v>
      </c>
      <c r="E10" s="2" t="s">
        <v>841</v>
      </c>
      <c r="F10" s="2" t="s">
        <v>842</v>
      </c>
    </row>
    <row r="11" spans="1:6" ht="26.4" x14ac:dyDescent="0.3">
      <c r="A11" s="4" t="s">
        <v>73</v>
      </c>
      <c r="B11" s="4" t="s">
        <v>843</v>
      </c>
      <c r="C11" s="4" t="s">
        <v>844</v>
      </c>
      <c r="D11" s="4" t="s">
        <v>845</v>
      </c>
      <c r="E11" s="4" t="s">
        <v>846</v>
      </c>
      <c r="F11" s="4" t="s">
        <v>847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0" customWidth="1"/>
    <col min="3" max="3" width="26" customWidth="1"/>
    <col min="4" max="4" width="24" customWidth="1"/>
    <col min="5" max="5" width="60" customWidth="1"/>
    <col min="6" max="6" width="44" customWidth="1"/>
    <col min="7" max="7" width="52" customWidth="1"/>
  </cols>
  <sheetData>
    <row r="1" spans="1:7" ht="17.399999999999999" x14ac:dyDescent="0.3">
      <c r="A1" s="6" t="s">
        <v>848</v>
      </c>
    </row>
    <row r="3" spans="1:7" x14ac:dyDescent="0.3">
      <c r="A3" s="7" t="s">
        <v>0</v>
      </c>
      <c r="B3" s="7" t="s">
        <v>849</v>
      </c>
      <c r="C3" s="7" t="s">
        <v>1</v>
      </c>
      <c r="D3" s="7" t="s">
        <v>850</v>
      </c>
      <c r="E3" s="7" t="s">
        <v>851</v>
      </c>
      <c r="F3" s="7" t="s">
        <v>852</v>
      </c>
      <c r="G3" s="7" t="s">
        <v>853</v>
      </c>
    </row>
    <row r="4" spans="1:7" ht="39.6" x14ac:dyDescent="0.3">
      <c r="A4" s="2">
        <v>1</v>
      </c>
      <c r="B4" s="11" t="s">
        <v>854</v>
      </c>
      <c r="C4" s="2" t="s">
        <v>855</v>
      </c>
      <c r="D4" s="2" t="s">
        <v>856</v>
      </c>
      <c r="E4" s="2" t="s">
        <v>857</v>
      </c>
      <c r="F4" s="2" t="s">
        <v>858</v>
      </c>
      <c r="G4" s="2" t="s">
        <v>859</v>
      </c>
    </row>
    <row r="5" spans="1:7" ht="26.4" x14ac:dyDescent="0.3">
      <c r="A5" s="4">
        <v>2</v>
      </c>
      <c r="B5" s="12" t="s">
        <v>854</v>
      </c>
      <c r="C5" s="4" t="s">
        <v>11</v>
      </c>
      <c r="D5" s="4" t="s">
        <v>860</v>
      </c>
      <c r="E5" s="4" t="s">
        <v>861</v>
      </c>
      <c r="F5" s="4" t="s">
        <v>862</v>
      </c>
      <c r="G5" s="4" t="s">
        <v>863</v>
      </c>
    </row>
    <row r="6" spans="1:7" ht="26.4" x14ac:dyDescent="0.3">
      <c r="A6" s="2">
        <v>3</v>
      </c>
      <c r="B6" s="11" t="s">
        <v>854</v>
      </c>
      <c r="C6" s="2" t="s">
        <v>11</v>
      </c>
      <c r="D6" s="2" t="s">
        <v>864</v>
      </c>
      <c r="E6" s="2" t="s">
        <v>865</v>
      </c>
      <c r="F6" s="2" t="s">
        <v>866</v>
      </c>
      <c r="G6" s="2" t="s">
        <v>867</v>
      </c>
    </row>
    <row r="7" spans="1:7" ht="26.4" x14ac:dyDescent="0.3">
      <c r="A7" s="4">
        <v>4</v>
      </c>
      <c r="B7" s="12" t="s">
        <v>854</v>
      </c>
      <c r="C7" s="4" t="s">
        <v>11</v>
      </c>
      <c r="D7" s="4" t="s">
        <v>868</v>
      </c>
      <c r="E7" s="4" t="s">
        <v>869</v>
      </c>
      <c r="F7" s="4" t="s">
        <v>870</v>
      </c>
      <c r="G7" s="4" t="s">
        <v>871</v>
      </c>
    </row>
    <row r="8" spans="1:7" x14ac:dyDescent="0.3">
      <c r="A8" s="2">
        <v>5</v>
      </c>
      <c r="B8" s="11" t="s">
        <v>854</v>
      </c>
      <c r="C8" s="2" t="s">
        <v>11</v>
      </c>
      <c r="D8" s="2" t="s">
        <v>872</v>
      </c>
      <c r="E8" s="2" t="s">
        <v>873</v>
      </c>
      <c r="F8" s="2" t="s">
        <v>874</v>
      </c>
      <c r="G8" s="2" t="s">
        <v>875</v>
      </c>
    </row>
    <row r="9" spans="1:7" ht="26.4" x14ac:dyDescent="0.3">
      <c r="A9" s="4">
        <v>6</v>
      </c>
      <c r="B9" s="12" t="s">
        <v>854</v>
      </c>
      <c r="C9" s="4" t="s">
        <v>410</v>
      </c>
      <c r="D9" s="4" t="s">
        <v>432</v>
      </c>
      <c r="E9" s="4" t="s">
        <v>876</v>
      </c>
      <c r="F9" s="4" t="s">
        <v>877</v>
      </c>
      <c r="G9" s="4" t="s">
        <v>878</v>
      </c>
    </row>
    <row r="10" spans="1:7" ht="26.4" x14ac:dyDescent="0.3">
      <c r="A10" s="2">
        <v>7</v>
      </c>
      <c r="B10" s="11" t="s">
        <v>854</v>
      </c>
      <c r="C10" s="2" t="s">
        <v>475</v>
      </c>
      <c r="D10" s="2" t="s">
        <v>879</v>
      </c>
      <c r="E10" s="2" t="s">
        <v>880</v>
      </c>
      <c r="F10" s="2" t="s">
        <v>881</v>
      </c>
      <c r="G10" s="2" t="s">
        <v>882</v>
      </c>
    </row>
    <row r="11" spans="1:7" ht="26.4" x14ac:dyDescent="0.3">
      <c r="A11" s="4">
        <v>8</v>
      </c>
      <c r="B11" s="13" t="s">
        <v>883</v>
      </c>
      <c r="C11" s="4" t="s">
        <v>11</v>
      </c>
      <c r="D11" s="4" t="s">
        <v>884</v>
      </c>
      <c r="E11" s="4" t="s">
        <v>885</v>
      </c>
      <c r="F11" s="4" t="s">
        <v>886</v>
      </c>
      <c r="G11" s="4" t="s">
        <v>887</v>
      </c>
    </row>
    <row r="12" spans="1:7" ht="26.4" x14ac:dyDescent="0.3">
      <c r="A12" s="2">
        <v>9</v>
      </c>
      <c r="B12" s="14" t="s">
        <v>883</v>
      </c>
      <c r="C12" s="2" t="s">
        <v>11</v>
      </c>
      <c r="D12" s="2" t="s">
        <v>888</v>
      </c>
      <c r="E12" s="2" t="s">
        <v>889</v>
      </c>
      <c r="F12" s="2" t="s">
        <v>890</v>
      </c>
      <c r="G12" s="2" t="s">
        <v>891</v>
      </c>
    </row>
    <row r="13" spans="1:7" ht="26.4" x14ac:dyDescent="0.3">
      <c r="A13" s="4">
        <v>10</v>
      </c>
      <c r="B13" s="13" t="s">
        <v>883</v>
      </c>
      <c r="C13" s="4" t="s">
        <v>326</v>
      </c>
      <c r="D13" s="4" t="s">
        <v>892</v>
      </c>
      <c r="E13" s="4" t="s">
        <v>893</v>
      </c>
      <c r="F13" s="4" t="s">
        <v>894</v>
      </c>
      <c r="G13" s="4" t="s">
        <v>895</v>
      </c>
    </row>
    <row r="14" spans="1:7" ht="26.4" x14ac:dyDescent="0.3">
      <c r="A14" s="2">
        <v>11</v>
      </c>
      <c r="B14" s="14" t="s">
        <v>883</v>
      </c>
      <c r="C14" s="2" t="s">
        <v>367</v>
      </c>
      <c r="D14" s="2" t="s">
        <v>896</v>
      </c>
      <c r="E14" s="2" t="s">
        <v>897</v>
      </c>
      <c r="F14" s="2" t="s">
        <v>898</v>
      </c>
      <c r="G14" s="2" t="s">
        <v>899</v>
      </c>
    </row>
    <row r="15" spans="1:7" x14ac:dyDescent="0.3">
      <c r="A15" s="4">
        <v>12</v>
      </c>
      <c r="B15" s="13" t="s">
        <v>883</v>
      </c>
      <c r="C15" s="4" t="s">
        <v>367</v>
      </c>
      <c r="D15" s="4" t="s">
        <v>401</v>
      </c>
      <c r="E15" s="4" t="s">
        <v>900</v>
      </c>
      <c r="F15" s="4" t="s">
        <v>901</v>
      </c>
      <c r="G15" s="4" t="s">
        <v>902</v>
      </c>
    </row>
    <row r="16" spans="1:7" ht="26.4" x14ac:dyDescent="0.3">
      <c r="A16" s="2">
        <v>13</v>
      </c>
      <c r="B16" s="14" t="s">
        <v>883</v>
      </c>
      <c r="C16" s="2" t="s">
        <v>410</v>
      </c>
      <c r="D16" s="2" t="s">
        <v>903</v>
      </c>
      <c r="E16" s="2" t="s">
        <v>904</v>
      </c>
      <c r="F16" s="2" t="s">
        <v>905</v>
      </c>
      <c r="G16" s="2" t="s">
        <v>906</v>
      </c>
    </row>
    <row r="17" spans="1:7" ht="26.4" x14ac:dyDescent="0.3">
      <c r="A17" s="4">
        <v>14</v>
      </c>
      <c r="B17" s="13" t="s">
        <v>883</v>
      </c>
      <c r="C17" s="4" t="s">
        <v>410</v>
      </c>
      <c r="D17" s="4" t="s">
        <v>452</v>
      </c>
      <c r="E17" s="4" t="s">
        <v>907</v>
      </c>
      <c r="F17" s="4" t="s">
        <v>908</v>
      </c>
      <c r="G17" s="4" t="s">
        <v>909</v>
      </c>
    </row>
    <row r="18" spans="1:7" ht="26.4" x14ac:dyDescent="0.3">
      <c r="A18" s="2">
        <v>15</v>
      </c>
      <c r="B18" s="14" t="s">
        <v>883</v>
      </c>
      <c r="C18" s="2" t="s">
        <v>543</v>
      </c>
      <c r="D18" s="2" t="s">
        <v>910</v>
      </c>
      <c r="E18" s="2" t="s">
        <v>911</v>
      </c>
      <c r="F18" s="2" t="s">
        <v>912</v>
      </c>
      <c r="G18" s="2" t="s">
        <v>913</v>
      </c>
    </row>
    <row r="19" spans="1:7" ht="26.4" x14ac:dyDescent="0.3">
      <c r="A19" s="4">
        <v>16</v>
      </c>
      <c r="B19" s="13" t="s">
        <v>883</v>
      </c>
      <c r="C19" s="4" t="s">
        <v>735</v>
      </c>
      <c r="D19" s="4" t="s">
        <v>914</v>
      </c>
      <c r="E19" s="4" t="s">
        <v>915</v>
      </c>
      <c r="F19" s="4" t="s">
        <v>916</v>
      </c>
      <c r="G19" s="4" t="s">
        <v>917</v>
      </c>
    </row>
    <row r="20" spans="1:7" ht="26.4" x14ac:dyDescent="0.3">
      <c r="A20" s="2">
        <v>17</v>
      </c>
      <c r="B20" s="15" t="s">
        <v>918</v>
      </c>
      <c r="C20" s="2" t="s">
        <v>919</v>
      </c>
      <c r="D20" s="2" t="s">
        <v>920</v>
      </c>
      <c r="E20" s="2" t="s">
        <v>921</v>
      </c>
      <c r="F20" s="2" t="s">
        <v>922</v>
      </c>
      <c r="G20" s="2" t="s">
        <v>923</v>
      </c>
    </row>
    <row r="21" spans="1:7" ht="39.6" x14ac:dyDescent="0.3">
      <c r="A21" s="4">
        <v>18</v>
      </c>
      <c r="B21" s="16" t="s">
        <v>918</v>
      </c>
      <c r="C21" s="4" t="s">
        <v>924</v>
      </c>
      <c r="D21" s="4" t="s">
        <v>925</v>
      </c>
      <c r="E21" s="4" t="s">
        <v>926</v>
      </c>
      <c r="F21" s="4" t="s">
        <v>927</v>
      </c>
      <c r="G21" s="4" t="s">
        <v>928</v>
      </c>
    </row>
    <row r="22" spans="1:7" ht="26.4" x14ac:dyDescent="0.3">
      <c r="A22" s="2">
        <v>19</v>
      </c>
      <c r="B22" s="15" t="s">
        <v>918</v>
      </c>
      <c r="C22" s="2" t="s">
        <v>11</v>
      </c>
      <c r="D22" s="2" t="s">
        <v>929</v>
      </c>
      <c r="E22" s="2" t="s">
        <v>930</v>
      </c>
      <c r="F22" s="2" t="s">
        <v>931</v>
      </c>
      <c r="G22" s="2" t="s">
        <v>932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 map</vt:lpstr>
      <vt:lpstr>By purpose</vt:lpstr>
      <vt:lpstr>ERP rule types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TITAN X</cp:lastModifiedBy>
  <cp:revision>0</cp:revision>
  <dcterms:created xsi:type="dcterms:W3CDTF">2026-10-06T04:43:34Z</dcterms:created>
  <dcterms:modified xsi:type="dcterms:W3CDTF">2026-10-08T08:06:23Z</dcterms:modified>
  <dc:language>en-US</dc:language>
</cp:coreProperties>
</file>